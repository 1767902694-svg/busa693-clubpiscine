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vincent/Downloads/Documents pour Mylène/Budget/2024/"/>
    </mc:Choice>
  </mc:AlternateContent>
  <xr:revisionPtr revIDLastSave="0" documentId="13_ncr:1_{813E84A1-388A-5D4A-8127-CF962B1B4167}" xr6:coauthVersionLast="47" xr6:coauthVersionMax="47" xr10:uidLastSave="{00000000-0000-0000-0000-000000000000}"/>
  <bookViews>
    <workbookView xWindow="34300" yWindow="1560" windowWidth="34560" windowHeight="19920" xr2:uid="{00000000-000D-0000-FFFF-FFFF00000000}"/>
  </bookViews>
  <sheets>
    <sheet name="Budget RÉEL - 7 Octobre" sheetId="4" r:id="rId1"/>
    <sheet name="Budget Préliminaire - 3 mai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4" i="4" l="1"/>
  <c r="AO61" i="4"/>
  <c r="DW64" i="4"/>
  <c r="DW61" i="4"/>
  <c r="DW60" i="4"/>
  <c r="DW59" i="4"/>
  <c r="DW58" i="4"/>
  <c r="DW57" i="4"/>
  <c r="DW56" i="4"/>
  <c r="DW55" i="4"/>
  <c r="DW54" i="4"/>
  <c r="DW53" i="4"/>
  <c r="DW38" i="4"/>
  <c r="DW36" i="4"/>
  <c r="DW35" i="4"/>
  <c r="DW34" i="4"/>
  <c r="DW32" i="4"/>
  <c r="DW30" i="4"/>
  <c r="DW29" i="4"/>
  <c r="DW25" i="4"/>
  <c r="DW24" i="4"/>
  <c r="DW23" i="4"/>
  <c r="DW19" i="4"/>
  <c r="DW18" i="4"/>
  <c r="DW17" i="4"/>
  <c r="DW14" i="4"/>
  <c r="DW11" i="4"/>
  <c r="DI53" i="4"/>
  <c r="DM41" i="4"/>
  <c r="DI41" i="4"/>
  <c r="DD41" i="4"/>
  <c r="CY41" i="4"/>
  <c r="CZ38" i="4"/>
  <c r="CT41" i="4"/>
  <c r="CP41" i="4"/>
  <c r="CL41" i="4"/>
  <c r="CH41" i="4"/>
  <c r="CC41" i="4"/>
  <c r="BX41" i="4"/>
  <c r="BS41" i="4"/>
  <c r="BO41" i="4"/>
  <c r="DU40" i="4"/>
  <c r="DU38" i="4"/>
  <c r="DU29" i="4"/>
  <c r="DM53" i="4"/>
  <c r="DM30" i="4"/>
  <c r="DJ30" i="4"/>
  <c r="DM25" i="4"/>
  <c r="DM47" i="4"/>
  <c r="DU60" i="4" l="1"/>
  <c r="DU59" i="4"/>
  <c r="DU58" i="4"/>
  <c r="DU57" i="4"/>
  <c r="DU56" i="4"/>
  <c r="DU55" i="4"/>
  <c r="DU54" i="4"/>
  <c r="DU53" i="4"/>
  <c r="DU33" i="4"/>
  <c r="DU32" i="4"/>
  <c r="DU30" i="4"/>
  <c r="DU47" i="4"/>
  <c r="DM27" i="4"/>
  <c r="DM26" i="4"/>
  <c r="DJ25" i="4"/>
  <c r="DD25" i="4"/>
  <c r="DU25" i="4" s="1"/>
  <c r="CZ25" i="4"/>
  <c r="CY25" i="4"/>
  <c r="CT25" i="4"/>
  <c r="CP25" i="4"/>
  <c r="CL25" i="4"/>
  <c r="CH25" i="4"/>
  <c r="DU24" i="4"/>
  <c r="DU31" i="4"/>
  <c r="CT47" i="4"/>
  <c r="BO30" i="4"/>
  <c r="CZ32" i="4"/>
  <c r="CY32" i="4"/>
  <c r="DU23" i="4"/>
  <c r="DU17" i="4"/>
  <c r="DU14" i="4"/>
  <c r="BS19" i="4"/>
  <c r="DU11" i="4"/>
  <c r="BH60" i="4"/>
  <c r="BH59" i="4"/>
  <c r="BH58" i="4"/>
  <c r="BH57" i="4"/>
  <c r="BH56" i="4"/>
  <c r="BH55" i="4"/>
  <c r="BH54" i="4"/>
  <c r="BH28" i="4"/>
  <c r="BH27" i="4"/>
  <c r="BH26" i="4"/>
  <c r="E26" i="4"/>
  <c r="I26" i="4"/>
  <c r="BH35" i="4"/>
  <c r="BH34" i="4"/>
  <c r="BH33" i="4"/>
  <c r="BH32" i="4"/>
  <c r="BH31" i="4"/>
  <c r="BH30" i="4"/>
  <c r="BH29" i="4"/>
  <c r="BH36" i="4" s="1"/>
  <c r="BH25" i="4"/>
  <c r="BH24" i="4"/>
  <c r="BH23" i="4"/>
  <c r="BH18" i="4"/>
  <c r="BH19" i="4" s="1"/>
  <c r="BH17" i="4"/>
  <c r="BH14" i="4"/>
  <c r="BH11" i="4"/>
  <c r="BH47" i="4"/>
  <c r="BH45" i="4"/>
  <c r="BH16" i="4"/>
  <c r="BH15" i="4"/>
  <c r="BH13" i="4"/>
  <c r="BH12" i="4"/>
  <c r="CY14" i="4"/>
  <c r="CY19" i="4" s="1"/>
  <c r="CZ14" i="4"/>
  <c r="DJ28" i="4"/>
  <c r="DI26" i="4"/>
  <c r="CZ28" i="4"/>
  <c r="CP26" i="4"/>
  <c r="CL27" i="4"/>
  <c r="CH27" i="4"/>
  <c r="CC28" i="4"/>
  <c r="BX28" i="4"/>
  <c r="BS26" i="4"/>
  <c r="BO26" i="4"/>
  <c r="DM19" i="4"/>
  <c r="DI19" i="4"/>
  <c r="CT19" i="4"/>
  <c r="CL19" i="4"/>
  <c r="BX19" i="4"/>
  <c r="BO19" i="4"/>
  <c r="DJ19" i="4"/>
  <c r="DD19" i="4"/>
  <c r="CZ19" i="4"/>
  <c r="CH19" i="4"/>
  <c r="CC19" i="4"/>
  <c r="EZ154" i="4"/>
  <c r="EZ153" i="4"/>
  <c r="EZ152" i="4"/>
  <c r="EZ151" i="4"/>
  <c r="DU45" i="4"/>
  <c r="DU35" i="4"/>
  <c r="DU34" i="4"/>
  <c r="BC33" i="4"/>
  <c r="AZ33" i="4"/>
  <c r="AT33" i="4"/>
  <c r="AP33" i="4"/>
  <c r="AJ33" i="4"/>
  <c r="AF33" i="4"/>
  <c r="AB33" i="4"/>
  <c r="X33" i="4"/>
  <c r="S33" i="4"/>
  <c r="BC32" i="4"/>
  <c r="AZ32" i="4"/>
  <c r="AY32" i="4"/>
  <c r="AT32" i="4"/>
  <c r="AP32" i="4"/>
  <c r="AO32" i="4"/>
  <c r="AJ32" i="4"/>
  <c r="AF32" i="4"/>
  <c r="AB32" i="4"/>
  <c r="X32" i="4"/>
  <c r="S32" i="4"/>
  <c r="N32" i="4"/>
  <c r="I32" i="4"/>
  <c r="E32" i="4"/>
  <c r="AZ31" i="4"/>
  <c r="AY31" i="4"/>
  <c r="AT31" i="4"/>
  <c r="AP31" i="4"/>
  <c r="AO31" i="4"/>
  <c r="AJ31" i="4"/>
  <c r="AF31" i="4"/>
  <c r="AB31" i="4"/>
  <c r="X31" i="4"/>
  <c r="S31" i="4"/>
  <c r="N31" i="4"/>
  <c r="I31" i="4"/>
  <c r="E31" i="4"/>
  <c r="AZ30" i="4"/>
  <c r="AP30" i="4"/>
  <c r="AF30" i="4"/>
  <c r="AB30" i="4"/>
  <c r="X30" i="4"/>
  <c r="S30" i="4"/>
  <c r="BC29" i="4"/>
  <c r="AZ29" i="4"/>
  <c r="AT29" i="4"/>
  <c r="AP29" i="4"/>
  <c r="AJ29" i="4"/>
  <c r="AF29" i="4"/>
  <c r="AB29" i="4"/>
  <c r="X29" i="4"/>
  <c r="BC27" i="4"/>
  <c r="BC25" i="4"/>
  <c r="AZ25" i="4"/>
  <c r="AZ27" i="4" s="1"/>
  <c r="AY25" i="4"/>
  <c r="AY26" i="4" s="1"/>
  <c r="AT25" i="4"/>
  <c r="AT28" i="4" s="1"/>
  <c r="AP25" i="4"/>
  <c r="AP28" i="4" s="1"/>
  <c r="AO25" i="4"/>
  <c r="AO28" i="4" s="1"/>
  <c r="AJ25" i="4"/>
  <c r="AF25" i="4"/>
  <c r="AF28" i="4" s="1"/>
  <c r="AB25" i="4"/>
  <c r="AB28" i="4" s="1"/>
  <c r="X25" i="4"/>
  <c r="X26" i="4" s="1"/>
  <c r="S25" i="4"/>
  <c r="S27" i="4" s="1"/>
  <c r="N25" i="4"/>
  <c r="N26" i="4" s="1"/>
  <c r="I25" i="4"/>
  <c r="E25" i="4"/>
  <c r="AP23" i="4"/>
  <c r="AF23" i="4"/>
  <c r="AB23" i="4"/>
  <c r="N23" i="4"/>
  <c r="E23" i="4"/>
  <c r="FK19" i="4"/>
  <c r="BC19" i="4"/>
  <c r="AY19" i="4"/>
  <c r="N19" i="4"/>
  <c r="I19" i="4"/>
  <c r="E19" i="4"/>
  <c r="DU18" i="4"/>
  <c r="AF17" i="4"/>
  <c r="DU16" i="4"/>
  <c r="DU15" i="4"/>
  <c r="AZ14" i="4"/>
  <c r="AT14" i="4"/>
  <c r="AP14" i="4"/>
  <c r="AO14" i="4"/>
  <c r="AO19" i="4" s="1"/>
  <c r="AJ14" i="4"/>
  <c r="AJ19" i="4" s="1"/>
  <c r="AF14" i="4"/>
  <c r="AB14" i="4"/>
  <c r="X14" i="4"/>
  <c r="DU13" i="4"/>
  <c r="DU12" i="4"/>
  <c r="AZ11" i="4"/>
  <c r="AT11" i="4"/>
  <c r="AP11" i="4"/>
  <c r="AP19" i="4" s="1"/>
  <c r="AF11" i="4"/>
  <c r="AB11" i="4"/>
  <c r="X11" i="4"/>
  <c r="S11" i="4"/>
  <c r="S19" i="4" s="1"/>
  <c r="DU61" i="4" l="1"/>
  <c r="BI57" i="4" s="1"/>
  <c r="DM28" i="4"/>
  <c r="DD27" i="4"/>
  <c r="BH38" i="4"/>
  <c r="DD26" i="4"/>
  <c r="CC27" i="4"/>
  <c r="DJ26" i="4"/>
  <c r="CL36" i="4"/>
  <c r="CL38" i="4" s="1"/>
  <c r="CY36" i="4"/>
  <c r="CY38" i="4" s="1"/>
  <c r="DD36" i="4"/>
  <c r="DD38" i="4" s="1"/>
  <c r="CP19" i="4"/>
  <c r="CH26" i="4"/>
  <c r="BO28" i="4"/>
  <c r="BS28" i="4"/>
  <c r="CC26" i="4"/>
  <c r="CH28" i="4"/>
  <c r="BX36" i="4"/>
  <c r="BX38" i="4" s="1"/>
  <c r="BX40" i="4" s="1"/>
  <c r="CZ26" i="4"/>
  <c r="CT36" i="4"/>
  <c r="CT38" i="4" s="1"/>
  <c r="CT61" i="4" s="1"/>
  <c r="CT64" i="4" s="1"/>
  <c r="DD28" i="4"/>
  <c r="DI28" i="4"/>
  <c r="CZ27" i="4"/>
  <c r="CZ36" i="4"/>
  <c r="CZ40" i="4" s="1"/>
  <c r="BO36" i="4"/>
  <c r="BO38" i="4" s="1"/>
  <c r="BO40" i="4" s="1"/>
  <c r="BX26" i="4"/>
  <c r="CT26" i="4"/>
  <c r="CP27" i="4"/>
  <c r="CY26" i="4"/>
  <c r="CY27" i="4"/>
  <c r="CL28" i="4"/>
  <c r="BS36" i="4"/>
  <c r="BS38" i="4" s="1"/>
  <c r="DI36" i="4"/>
  <c r="DI38" i="4" s="1"/>
  <c r="DJ36" i="4"/>
  <c r="DJ38" i="4" s="1"/>
  <c r="CP36" i="4"/>
  <c r="CP28" i="4"/>
  <c r="CT28" i="4"/>
  <c r="CC36" i="4"/>
  <c r="CC38" i="4" s="1"/>
  <c r="DM36" i="4"/>
  <c r="DJ27" i="4"/>
  <c r="CY28" i="4"/>
  <c r="CH36" i="4"/>
  <c r="CH38" i="4" s="1"/>
  <c r="AB27" i="4"/>
  <c r="X27" i="4"/>
  <c r="AF27" i="4"/>
  <c r="E28" i="4"/>
  <c r="E36" i="4"/>
  <c r="E38" i="4" s="1"/>
  <c r="E53" i="4" s="1"/>
  <c r="E61" i="4" s="1"/>
  <c r="E64" i="4" s="1"/>
  <c r="AZ28" i="4"/>
  <c r="AB26" i="4"/>
  <c r="AO26" i="4"/>
  <c r="AZ19" i="4"/>
  <c r="AP26" i="4"/>
  <c r="AT36" i="4"/>
  <c r="AT26" i="4"/>
  <c r="N28" i="4"/>
  <c r="S36" i="4"/>
  <c r="S38" i="4" s="1"/>
  <c r="X19" i="4"/>
  <c r="N36" i="4"/>
  <c r="N38" i="4" s="1"/>
  <c r="N40" i="4" s="1"/>
  <c r="AO27" i="4"/>
  <c r="AF19" i="4"/>
  <c r="AF38" i="4" s="1"/>
  <c r="AB36" i="4"/>
  <c r="AF26" i="4"/>
  <c r="AP27" i="4"/>
  <c r="DU27" i="4" s="1"/>
  <c r="AB19" i="4"/>
  <c r="AF36" i="4"/>
  <c r="AJ36" i="4"/>
  <c r="AJ38" i="4" s="1"/>
  <c r="AJ53" i="4" s="1"/>
  <c r="AJ61" i="4" s="1"/>
  <c r="AJ64" i="4" s="1"/>
  <c r="AJ26" i="4"/>
  <c r="AT27" i="4"/>
  <c r="AJ40" i="4"/>
  <c r="I36" i="4"/>
  <c r="I38" i="4" s="1"/>
  <c r="I28" i="4"/>
  <c r="AY28" i="4"/>
  <c r="AZ36" i="4"/>
  <c r="AT19" i="4"/>
  <c r="S28" i="4"/>
  <c r="AZ26" i="4"/>
  <c r="AJ28" i="4"/>
  <c r="AO36" i="4"/>
  <c r="AO38" i="4" s="1"/>
  <c r="BC36" i="4"/>
  <c r="BC28" i="4"/>
  <c r="X36" i="4"/>
  <c r="X28" i="4"/>
  <c r="S26" i="4"/>
  <c r="BC26" i="4"/>
  <c r="AP36" i="4"/>
  <c r="AP38" i="4" s="1"/>
  <c r="AP40" i="4" s="1"/>
  <c r="AY36" i="4"/>
  <c r="AY38" i="4" s="1"/>
  <c r="S11" i="3"/>
  <c r="BI60" i="4" l="1"/>
  <c r="BI58" i="4"/>
  <c r="BI59" i="4"/>
  <c r="BI54" i="4"/>
  <c r="BI55" i="4"/>
  <c r="BI56" i="4"/>
  <c r="CY61" i="4"/>
  <c r="CY64" i="4" s="1"/>
  <c r="CP38" i="4"/>
  <c r="CT40" i="4"/>
  <c r="CY40" i="4"/>
  <c r="CL40" i="4"/>
  <c r="BO61" i="4"/>
  <c r="BO64" i="4" s="1"/>
  <c r="CL61" i="4"/>
  <c r="CL64" i="4" s="1"/>
  <c r="CC61" i="4"/>
  <c r="CC64" i="4" s="1"/>
  <c r="CC40" i="4"/>
  <c r="DI61" i="4"/>
  <c r="DI64" i="4" s="1"/>
  <c r="DJ40" i="4"/>
  <c r="DM61" i="4"/>
  <c r="DM38" i="4"/>
  <c r="DD40" i="4"/>
  <c r="DD61" i="4"/>
  <c r="DD64" i="4" s="1"/>
  <c r="BS40" i="4"/>
  <c r="BS61" i="4"/>
  <c r="BS64" i="4" s="1"/>
  <c r="DI40" i="4"/>
  <c r="CH61" i="4"/>
  <c r="CH64" i="4" s="1"/>
  <c r="CH40" i="4"/>
  <c r="DU36" i="4"/>
  <c r="DU19" i="4"/>
  <c r="E40" i="4"/>
  <c r="AZ38" i="4"/>
  <c r="AY53" i="4" s="1"/>
  <c r="AY61" i="4" s="1"/>
  <c r="AY64" i="4" s="1"/>
  <c r="N53" i="4"/>
  <c r="AB38" i="4"/>
  <c r="AB40" i="4" s="1"/>
  <c r="AT38" i="4"/>
  <c r="AT40" i="4" s="1"/>
  <c r="DU28" i="4"/>
  <c r="DU26" i="4"/>
  <c r="X38" i="4"/>
  <c r="X40" i="4" s="1"/>
  <c r="BC38" i="4"/>
  <c r="BC53" i="4"/>
  <c r="AO40" i="4"/>
  <c r="AO53" i="4"/>
  <c r="AY40" i="4"/>
  <c r="AF40" i="4"/>
  <c r="AF53" i="4"/>
  <c r="AF61" i="4" s="1"/>
  <c r="AF64" i="4" s="1"/>
  <c r="S53" i="4"/>
  <c r="S61" i="4" s="1"/>
  <c r="S64" i="4" s="1"/>
  <c r="S40" i="4"/>
  <c r="I40" i="4"/>
  <c r="I53" i="4"/>
  <c r="I61" i="4" s="1"/>
  <c r="I64" i="4" s="1"/>
  <c r="BH54" i="3"/>
  <c r="BC29" i="3"/>
  <c r="AZ29" i="3"/>
  <c r="AT29" i="3"/>
  <c r="AP29" i="3"/>
  <c r="AJ29" i="3"/>
  <c r="AF29" i="3"/>
  <c r="AB29" i="3"/>
  <c r="X29" i="3"/>
  <c r="CW19" i="3"/>
  <c r="BC33" i="3"/>
  <c r="AZ33" i="3"/>
  <c r="AT33" i="3"/>
  <c r="AP33" i="3"/>
  <c r="AJ33" i="3"/>
  <c r="AF33" i="3"/>
  <c r="AB33" i="3"/>
  <c r="X33" i="3"/>
  <c r="S33" i="3"/>
  <c r="BC32" i="3"/>
  <c r="AZ32" i="3"/>
  <c r="AY32" i="3"/>
  <c r="AT32" i="3"/>
  <c r="AP32" i="3"/>
  <c r="AO32" i="3"/>
  <c r="AJ32" i="3"/>
  <c r="AF32" i="3"/>
  <c r="AB32" i="3"/>
  <c r="X32" i="3"/>
  <c r="S32" i="3"/>
  <c r="N32" i="3"/>
  <c r="I32" i="3"/>
  <c r="E32" i="3"/>
  <c r="AZ31" i="3"/>
  <c r="AY31" i="3"/>
  <c r="AT31" i="3"/>
  <c r="AP31" i="3"/>
  <c r="AO31" i="3"/>
  <c r="AJ31" i="3"/>
  <c r="AF31" i="3"/>
  <c r="AB31" i="3"/>
  <c r="X31" i="3"/>
  <c r="S31" i="3"/>
  <c r="N31" i="3"/>
  <c r="I31" i="3"/>
  <c r="E31" i="3"/>
  <c r="AZ30" i="3"/>
  <c r="AP30" i="3"/>
  <c r="AF30" i="3"/>
  <c r="AB30" i="3"/>
  <c r="X30" i="3"/>
  <c r="S30" i="3"/>
  <c r="BC27" i="3"/>
  <c r="BC25" i="3"/>
  <c r="BC28" i="3" s="1"/>
  <c r="AZ25" i="3"/>
  <c r="AZ28" i="3" s="1"/>
  <c r="AZ14" i="3"/>
  <c r="AY25" i="3"/>
  <c r="AT25" i="3"/>
  <c r="AT27" i="3" s="1"/>
  <c r="AP25" i="3"/>
  <c r="AP28" i="3" s="1"/>
  <c r="AO25" i="3"/>
  <c r="AO27" i="3" s="1"/>
  <c r="AJ25" i="3"/>
  <c r="AF25" i="3"/>
  <c r="AF26" i="3" s="1"/>
  <c r="AB25" i="3"/>
  <c r="AB27" i="3" s="1"/>
  <c r="X25" i="3"/>
  <c r="X28" i="3" s="1"/>
  <c r="S25" i="3"/>
  <c r="S28" i="3" s="1"/>
  <c r="N25" i="3"/>
  <c r="N26" i="3" s="1"/>
  <c r="I25" i="3"/>
  <c r="I28" i="3" s="1"/>
  <c r="E25" i="3"/>
  <c r="E28" i="3" s="1"/>
  <c r="AP23" i="3"/>
  <c r="AF23" i="3"/>
  <c r="AB23" i="3"/>
  <c r="N23" i="3"/>
  <c r="E23" i="3"/>
  <c r="AF17" i="3"/>
  <c r="BH17" i="3" s="1"/>
  <c r="AZ11" i="3"/>
  <c r="AT14" i="3"/>
  <c r="AP14" i="3"/>
  <c r="AO14" i="3"/>
  <c r="AO19" i="3" s="1"/>
  <c r="AJ14" i="3"/>
  <c r="AJ19" i="3" s="1"/>
  <c r="AF14" i="3"/>
  <c r="AB14" i="3"/>
  <c r="X14" i="3"/>
  <c r="AT11" i="3"/>
  <c r="AP11" i="3"/>
  <c r="AF11" i="3"/>
  <c r="AB11" i="3"/>
  <c r="X11" i="3"/>
  <c r="S19" i="3"/>
  <c r="CL154" i="3"/>
  <c r="CL153" i="3"/>
  <c r="CL152" i="3"/>
  <c r="CL151" i="3"/>
  <c r="BH60" i="3"/>
  <c r="BH59" i="3"/>
  <c r="BH58" i="3"/>
  <c r="BH57" i="3"/>
  <c r="BH56" i="3"/>
  <c r="BH55" i="3"/>
  <c r="BH47" i="3"/>
  <c r="BH45" i="3"/>
  <c r="BH35" i="3"/>
  <c r="BH34" i="3"/>
  <c r="BH24" i="3"/>
  <c r="BC19" i="3"/>
  <c r="AY19" i="3"/>
  <c r="N19" i="3"/>
  <c r="I19" i="3"/>
  <c r="E19" i="3"/>
  <c r="BH18" i="3"/>
  <c r="BH16" i="3"/>
  <c r="BH15" i="3"/>
  <c r="BH13" i="3"/>
  <c r="BH12" i="3"/>
  <c r="N61" i="4" l="1"/>
  <c r="N64" i="4" s="1"/>
  <c r="BH53" i="4"/>
  <c r="BX61" i="4"/>
  <c r="BX64" i="4" s="1"/>
  <c r="CP40" i="4"/>
  <c r="CP61" i="4"/>
  <c r="CP64" i="4" s="1"/>
  <c r="DU64" i="4"/>
  <c r="DV67" i="4" s="1"/>
  <c r="AB53" i="4"/>
  <c r="AB61" i="4" s="1"/>
  <c r="AB64" i="4" s="1"/>
  <c r="DM64" i="4"/>
  <c r="DM40" i="4"/>
  <c r="AZ40" i="4"/>
  <c r="AT53" i="4"/>
  <c r="AT61" i="4" s="1"/>
  <c r="AT64" i="4" s="1"/>
  <c r="X53" i="4"/>
  <c r="X61" i="4" s="1"/>
  <c r="X64" i="4" s="1"/>
  <c r="BC61" i="4"/>
  <c r="BC40" i="4"/>
  <c r="AT28" i="3"/>
  <c r="BH29" i="3"/>
  <c r="AJ36" i="3"/>
  <c r="AJ38" i="3" s="1"/>
  <c r="AJ53" i="3" s="1"/>
  <c r="AP36" i="3"/>
  <c r="I36" i="3"/>
  <c r="I38" i="3" s="1"/>
  <c r="I40" i="3" s="1"/>
  <c r="AY36" i="3"/>
  <c r="AY38" i="3" s="1"/>
  <c r="AY40" i="3" s="1"/>
  <c r="AO36" i="3"/>
  <c r="AO38" i="3" s="1"/>
  <c r="AO28" i="3"/>
  <c r="AP26" i="3"/>
  <c r="E36" i="3"/>
  <c r="E38" i="3" s="1"/>
  <c r="AT36" i="3"/>
  <c r="AF36" i="3"/>
  <c r="BH14" i="3"/>
  <c r="AB36" i="3"/>
  <c r="AZ19" i="3"/>
  <c r="N36" i="3"/>
  <c r="N38" i="3" s="1"/>
  <c r="S36" i="3"/>
  <c r="S38" i="3" s="1"/>
  <c r="AJ26" i="3"/>
  <c r="AJ28" i="3"/>
  <c r="AZ36" i="3"/>
  <c r="BC36" i="3"/>
  <c r="BC53" i="3" s="1"/>
  <c r="BC61" i="3" s="1"/>
  <c r="X36" i="3"/>
  <c r="AO26" i="3"/>
  <c r="AY26" i="3"/>
  <c r="AB28" i="3"/>
  <c r="AT26" i="3"/>
  <c r="BH11" i="3"/>
  <c r="AZ26" i="3"/>
  <c r="AZ27" i="3"/>
  <c r="AB26" i="3"/>
  <c r="AP27" i="3"/>
  <c r="BC26" i="3"/>
  <c r="AY28" i="3"/>
  <c r="I26" i="3"/>
  <c r="BH32" i="3"/>
  <c r="BH33" i="3"/>
  <c r="AF28" i="3"/>
  <c r="AF27" i="3"/>
  <c r="BH31" i="3"/>
  <c r="BH30" i="3"/>
  <c r="S26" i="3"/>
  <c r="AF19" i="3"/>
  <c r="N28" i="3"/>
  <c r="S27" i="3"/>
  <c r="AP19" i="3"/>
  <c r="AP38" i="3" s="1"/>
  <c r="AP40" i="3" s="1"/>
  <c r="BH23" i="3"/>
  <c r="X26" i="3"/>
  <c r="E26" i="3"/>
  <c r="X27" i="3"/>
  <c r="AB19" i="3"/>
  <c r="BH25" i="3"/>
  <c r="AT19" i="3"/>
  <c r="X19" i="3"/>
  <c r="BH61" i="4" l="1"/>
  <c r="BI53" i="4"/>
  <c r="DV25" i="4"/>
  <c r="DV14" i="4"/>
  <c r="DV30" i="4"/>
  <c r="S41" i="4"/>
  <c r="DV15" i="4"/>
  <c r="DV23" i="4"/>
  <c r="AO41" i="4"/>
  <c r="AY41" i="4"/>
  <c r="E41" i="4"/>
  <c r="AB41" i="4"/>
  <c r="DV33" i="4"/>
  <c r="DV36" i="4"/>
  <c r="BI25" i="4"/>
  <c r="BI29" i="4"/>
  <c r="BI18" i="4"/>
  <c r="BI35" i="4"/>
  <c r="BI34" i="4"/>
  <c r="BI23" i="4"/>
  <c r="BI17" i="4"/>
  <c r="BI14" i="4"/>
  <c r="BI31" i="4"/>
  <c r="BI36" i="4"/>
  <c r="BI16" i="4"/>
  <c r="BI11" i="4"/>
  <c r="BI30" i="4"/>
  <c r="BI24" i="4"/>
  <c r="BI13" i="4"/>
  <c r="BI12" i="4"/>
  <c r="BI15" i="4"/>
  <c r="BI19" i="4"/>
  <c r="BI32" i="4"/>
  <c r="BI33" i="4"/>
  <c r="BC41" i="4"/>
  <c r="DV31" i="4"/>
  <c r="DV13" i="4"/>
  <c r="AF41" i="4"/>
  <c r="DV19" i="4"/>
  <c r="AJ41" i="4"/>
  <c r="DV12" i="4"/>
  <c r="X41" i="4"/>
  <c r="AT41" i="4"/>
  <c r="DV34" i="4"/>
  <c r="N41" i="4"/>
  <c r="I41" i="4"/>
  <c r="DV16" i="4"/>
  <c r="DV11" i="4"/>
  <c r="DV32" i="4"/>
  <c r="DV35" i="4"/>
  <c r="DV17" i="4"/>
  <c r="DV29" i="4"/>
  <c r="DV24" i="4"/>
  <c r="DV18" i="4"/>
  <c r="DV54" i="4"/>
  <c r="BC64" i="4"/>
  <c r="I53" i="3"/>
  <c r="AZ38" i="3"/>
  <c r="AJ61" i="3"/>
  <c r="AJ64" i="3" s="1"/>
  <c r="AJ68" i="3" s="1"/>
  <c r="AZ40" i="3"/>
  <c r="AY53" i="3"/>
  <c r="AY61" i="3" s="1"/>
  <c r="AY64" i="3" s="1"/>
  <c r="AT38" i="3"/>
  <c r="I61" i="3"/>
  <c r="S40" i="3"/>
  <c r="S53" i="3"/>
  <c r="AJ40" i="3"/>
  <c r="N40" i="3"/>
  <c r="N53" i="3"/>
  <c r="BH28" i="3"/>
  <c r="E40" i="3"/>
  <c r="E53" i="3"/>
  <c r="BH36" i="3"/>
  <c r="BC38" i="3"/>
  <c r="BC64" i="3" s="1"/>
  <c r="AO40" i="3"/>
  <c r="AO53" i="3"/>
  <c r="AO61" i="3" s="1"/>
  <c r="AO64" i="3" s="1"/>
  <c r="AO68" i="3" s="1"/>
  <c r="AF38" i="3"/>
  <c r="AB38" i="3"/>
  <c r="X38" i="3"/>
  <c r="BH27" i="3"/>
  <c r="BH26" i="3"/>
  <c r="BH19" i="3"/>
  <c r="BI38" i="4" l="1"/>
  <c r="DV38" i="4"/>
  <c r="DV53" i="4"/>
  <c r="DV56" i="4"/>
  <c r="DV55" i="4"/>
  <c r="DV57" i="4"/>
  <c r="DV61" i="4"/>
  <c r="DV58" i="4"/>
  <c r="DV60" i="4"/>
  <c r="DV68" i="4"/>
  <c r="DV59" i="4"/>
  <c r="AT40" i="3"/>
  <c r="AT53" i="3"/>
  <c r="AT61" i="3" s="1"/>
  <c r="AT64" i="3" s="1"/>
  <c r="AT68" i="3" s="1"/>
  <c r="E61" i="3"/>
  <c r="E64" i="3" s="1"/>
  <c r="E68" i="3" s="1"/>
  <c r="N61" i="3"/>
  <c r="N64" i="3" s="1"/>
  <c r="N68" i="3" s="1"/>
  <c r="S61" i="3"/>
  <c r="S64" i="3" s="1"/>
  <c r="S68" i="3" s="1"/>
  <c r="I64" i="3"/>
  <c r="I68" i="3" s="1"/>
  <c r="BC40" i="3"/>
  <c r="AB40" i="3"/>
  <c r="AB53" i="3"/>
  <c r="AB61" i="3" s="1"/>
  <c r="AB64" i="3" s="1"/>
  <c r="AB68" i="3" s="1"/>
  <c r="AF40" i="3"/>
  <c r="AF53" i="3"/>
  <c r="AF61" i="3" s="1"/>
  <c r="AF64" i="3" s="1"/>
  <c r="AF68" i="3" s="1"/>
  <c r="X40" i="3"/>
  <c r="X53" i="3"/>
  <c r="BH38" i="3"/>
  <c r="BI13" i="3" s="1"/>
  <c r="X61" i="3" l="1"/>
  <c r="BH61" i="3" s="1"/>
  <c r="BH64" i="3" s="1"/>
  <c r="AY41" i="3"/>
  <c r="N41" i="3"/>
  <c r="BI15" i="3"/>
  <c r="BI12" i="3"/>
  <c r="I41" i="3"/>
  <c r="E41" i="3"/>
  <c r="BI24" i="3"/>
  <c r="BI30" i="3"/>
  <c r="BI31" i="3"/>
  <c r="BI32" i="3"/>
  <c r="BH53" i="3"/>
  <c r="BI19" i="3"/>
  <c r="AO41" i="3"/>
  <c r="BI17" i="3"/>
  <c r="BI33" i="3"/>
  <c r="BI11" i="3"/>
  <c r="BI35" i="3"/>
  <c r="AT41" i="3"/>
  <c r="AF41" i="3"/>
  <c r="BI23" i="3"/>
  <c r="BI29" i="3"/>
  <c r="BI16" i="3"/>
  <c r="BC41" i="3"/>
  <c r="X41" i="3"/>
  <c r="BI25" i="3"/>
  <c r="AB41" i="3"/>
  <c r="BI14" i="3"/>
  <c r="BI34" i="3"/>
  <c r="S41" i="3"/>
  <c r="BI18" i="3"/>
  <c r="AJ41" i="3"/>
  <c r="BI36" i="3"/>
  <c r="X64" i="3" l="1"/>
  <c r="X68" i="3" s="1"/>
  <c r="BI38" i="3"/>
  <c r="BI57" i="3"/>
  <c r="BI55" i="3"/>
  <c r="BI58" i="3"/>
  <c r="BI54" i="3"/>
  <c r="BI56" i="3"/>
  <c r="BI60" i="3"/>
  <c r="BI61" i="3"/>
  <c r="BI68" i="3"/>
  <c r="BI59" i="3"/>
  <c r="BI53" i="3"/>
  <c r="BI67" i="3" l="1"/>
  <c r="BH64" i="4" l="1"/>
  <c r="BI68" i="4" s="1"/>
  <c r="BI61" i="4"/>
  <c r="BI67" i="4"/>
</calcChain>
</file>

<file path=xl/sharedStrings.xml><?xml version="1.0" encoding="utf-8"?>
<sst xmlns="http://schemas.openxmlformats.org/spreadsheetml/2006/main" count="259" uniqueCount="94">
  <si>
    <t>BUDGET 2024 APPROUVÉ</t>
  </si>
  <si>
    <t>BUDGET 2024 RÉEL</t>
  </si>
  <si>
    <t>p</t>
  </si>
  <si>
    <t>QUOTES</t>
  </si>
  <si>
    <t>LIQUIDATION</t>
  </si>
  <si>
    <t>RH</t>
  </si>
  <si>
    <t>CAMPAGNE</t>
  </si>
  <si>
    <t>QUOTES         + FITNESS        + ABRIS</t>
  </si>
  <si>
    <t>FITNESS
+QUOTES</t>
  </si>
  <si>
    <t>LIQUIDATION
+QUOTES
+RH</t>
  </si>
  <si>
    <t>KICKOFF</t>
  </si>
  <si>
    <t>CORE 1</t>
  </si>
  <si>
    <t>CORE 2</t>
  </si>
  <si>
    <t>LOCAL</t>
  </si>
  <si>
    <t>FESTIVAL</t>
  </si>
  <si>
    <t>VENTE 1</t>
  </si>
  <si>
    <t>VENTE 2</t>
  </si>
  <si>
    <t>SEPTEMBRE</t>
  </si>
  <si>
    <t>Événement SPA + MEUBLES</t>
  </si>
  <si>
    <t>V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</si>
  <si>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</si>
  <si>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</si>
  <si>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</si>
  <si>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</si>
  <si>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</si>
  <si>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</si>
  <si>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</si>
  <si>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</si>
  <si>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</si>
  <si>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</si>
  <si>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</si>
  <si>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</si>
  <si>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TOTAL 2024</t>
  </si>
  <si>
    <t>%</t>
  </si>
  <si>
    <t>DIFFÉRENCE SUR BUDGET</t>
  </si>
  <si>
    <t>TOTAL 2023</t>
  </si>
  <si>
    <t>Diff.</t>
  </si>
  <si>
    <t>VAR</t>
  </si>
  <si>
    <t>TOTAL 2022</t>
  </si>
  <si>
    <t>semaine du 1er</t>
  </si>
  <si>
    <t>TRADITIONNEL</t>
  </si>
  <si>
    <t>RATIO</t>
  </si>
  <si>
    <t>TELEVISION</t>
  </si>
  <si>
    <t>FR</t>
  </si>
  <si>
    <t>EN</t>
  </si>
  <si>
    <t>RADIO</t>
  </si>
  <si>
    <t>PANNEAUX</t>
  </si>
  <si>
    <t>CIRCULAIRE PAPIER</t>
  </si>
  <si>
    <t>TOTAL TRADITIONNEL</t>
  </si>
  <si>
    <t>NUMÉRIQUE</t>
  </si>
  <si>
    <t>CIRCULAIRE DIGITAL</t>
  </si>
  <si>
    <t>LAPRESSE+</t>
  </si>
  <si>
    <t>GOOGLE ADS</t>
  </si>
  <si>
    <t>ADWORDS</t>
  </si>
  <si>
    <t>Recherche de mots clés</t>
  </si>
  <si>
    <t>ç</t>
  </si>
  <si>
    <t>PREROLL</t>
  </si>
  <si>
    <t>Preroll - Youtube</t>
  </si>
  <si>
    <t>DISPLAY</t>
  </si>
  <si>
    <t>Bannières web</t>
  </si>
  <si>
    <t>GOOGLE SHOPPING</t>
  </si>
  <si>
    <t>PREROLL - PREMIUM</t>
  </si>
  <si>
    <t>BANNIÈRES WEB - PREMIUM</t>
  </si>
  <si>
    <t>FACEBOOK + INSTAGRAM (PROMO)</t>
  </si>
  <si>
    <t>FACEBOOK + INSTAGRAM (PRODUIT)</t>
  </si>
  <si>
    <t>PINTEREST</t>
  </si>
  <si>
    <t>TIKTOK</t>
  </si>
  <si>
    <t>TOTAL NUMÉRIQUE</t>
  </si>
  <si>
    <t>TOTAL MÉDIA RÉEL</t>
  </si>
  <si>
    <t>TOTAL MEDIA 2023</t>
  </si>
  <si>
    <t xml:space="preserve">DIFFÉRENCE </t>
  </si>
  <si>
    <t>% vs total 2024</t>
  </si>
  <si>
    <t>% vs total 2023</t>
  </si>
  <si>
    <t>COOP - FOURNISSEURS</t>
  </si>
  <si>
    <t>AQUARINO</t>
  </si>
  <si>
    <t xml:space="preserve">BRAND HTH </t>
  </si>
  <si>
    <t>BROIL KING?</t>
  </si>
  <si>
    <t>JACUZZI</t>
  </si>
  <si>
    <t>RBF?</t>
  </si>
  <si>
    <t>SANIMARC?</t>
  </si>
  <si>
    <t>Production</t>
  </si>
  <si>
    <t>COMMISSION MEDIA</t>
  </si>
  <si>
    <t>PRODUCTION VIDEO</t>
  </si>
  <si>
    <t>PRODUCTION RADIO</t>
  </si>
  <si>
    <t>PRODUCTION GRAPHIQUE &amp; PHOTO</t>
  </si>
  <si>
    <t>UDA TV</t>
  </si>
  <si>
    <t>UDA RADIO</t>
  </si>
  <si>
    <t>COPIES</t>
  </si>
  <si>
    <t>Honoraires</t>
  </si>
  <si>
    <t>TOTAL PRODUCTION</t>
  </si>
  <si>
    <t>GRAND TOTAL</t>
  </si>
  <si>
    <t>PROD / TOTAL</t>
  </si>
  <si>
    <t>MÉDIA / TOTAL</t>
  </si>
  <si>
    <t>BUDGET 2024 PRÉLIMINAIRE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</si>
</sst>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)\ &quot;$&quot;_ ;_ * \(#,##0.00\)\ &quot;$&quot;_ ;_ * &quot;-&quot;??_)\ &quot;$&quot;_ ;_ @_ "/>
    <numFmt numFmtId="165" formatCode="#,##0.00&quot;$&quot;"/>
    <numFmt numFmtId="166" formatCode="#,##0.00\ [$$-C0C]"/>
    <numFmt numFmtId="167" formatCode="&quot;$&quot;#,##0.00"/>
    <numFmt numFmtId="168" formatCode="0.000%"/>
    <numFmt numFmtId="169" formatCode="#,##0.00\ &quot;$&quot;"/>
  </numFmts>
  <fonts count="39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b/>
      <sz val="11"/>
      <color theme="1"/>
      <name val="Helvetica Neue"/>
      <family val="2"/>
    </font>
    <font>
      <sz val="9"/>
      <color rgb="FFCCCCCC"/>
      <name val="Helvetica Neue"/>
      <family val="2"/>
    </font>
    <font>
      <sz val="8"/>
      <color rgb="FFCCCCCC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b/>
      <sz val="8"/>
      <color rgb="FF999999"/>
      <name val="Calibri"/>
      <family val="2"/>
    </font>
    <font>
      <sz val="10"/>
      <color theme="0"/>
      <name val="Arial"/>
      <family val="2"/>
      <scheme val="minor"/>
    </font>
    <font>
      <b/>
      <sz val="14"/>
      <color rgb="FFFFFFFF"/>
      <name val="Helvetica Neue"/>
      <family val="2"/>
    </font>
    <font>
      <sz val="11"/>
      <color rgb="FF1C1E21"/>
      <name val="Roboto"/>
    </font>
    <font>
      <sz val="11"/>
      <color theme="1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rgb="FF000000"/>
      <name val="Helvetica Neue"/>
      <family val="2"/>
    </font>
    <font>
      <sz val="10"/>
      <color rgb="FF000000"/>
      <name val="Arial"/>
      <family val="2"/>
      <scheme val="minor"/>
    </font>
    <font>
      <sz val="12"/>
      <color theme="0"/>
      <name val="Arial"/>
      <family val="2"/>
      <scheme val="minor"/>
    </font>
    <font>
      <sz val="10"/>
      <color theme="0"/>
      <name val="Helvetica Neue"/>
      <family val="2"/>
    </font>
    <font>
      <b/>
      <sz val="7"/>
      <name val="Arial"/>
      <family val="2"/>
    </font>
    <font>
      <b/>
      <sz val="12"/>
      <color theme="0"/>
      <name val="Helvetica Neue"/>
      <family val="2"/>
    </font>
    <font>
      <sz val="12"/>
      <color theme="0"/>
      <name val="Helvetica Neue"/>
      <family val="2"/>
    </font>
    <font>
      <b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1E5FF"/>
        <bgColor rgb="FFD1E5FF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23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8" fillId="3" borderId="5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8" fillId="3" borderId="0" xfId="0" applyFont="1" applyFill="1"/>
    <xf numFmtId="0" fontId="8" fillId="0" borderId="0" xfId="0" applyFont="1"/>
    <xf numFmtId="0" fontId="3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5" xfId="0" applyFont="1" applyBorder="1"/>
    <xf numFmtId="0" fontId="4" fillId="4" borderId="5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5" fontId="12" fillId="0" borderId="0" xfId="0" applyNumberFormat="1" applyFont="1" applyAlignment="1">
      <alignment vertical="top"/>
    </xf>
    <xf numFmtId="165" fontId="12" fillId="0" borderId="9" xfId="0" applyNumberFormat="1" applyFont="1" applyBorder="1" applyAlignment="1">
      <alignment vertical="top"/>
    </xf>
    <xf numFmtId="165" fontId="12" fillId="0" borderId="10" xfId="0" applyNumberFormat="1" applyFont="1" applyBorder="1" applyAlignment="1">
      <alignment vertical="top"/>
    </xf>
    <xf numFmtId="165" fontId="13" fillId="0" borderId="0" xfId="0" applyNumberFormat="1" applyFont="1"/>
    <xf numFmtId="165" fontId="10" fillId="0" borderId="0" xfId="0" applyNumberFormat="1" applyFont="1"/>
    <xf numFmtId="165" fontId="12" fillId="0" borderId="4" xfId="0" applyNumberFormat="1" applyFont="1" applyBorder="1" applyAlignment="1">
      <alignment vertical="top"/>
    </xf>
    <xf numFmtId="165" fontId="12" fillId="0" borderId="7" xfId="0" applyNumberFormat="1" applyFont="1" applyBorder="1" applyAlignment="1">
      <alignment vertical="top"/>
    </xf>
    <xf numFmtId="0" fontId="14" fillId="4" borderId="0" xfId="0" applyFont="1" applyFill="1"/>
    <xf numFmtId="0" fontId="14" fillId="4" borderId="5" xfId="0" applyFont="1" applyFill="1" applyBorder="1"/>
    <xf numFmtId="165" fontId="9" fillId="0" borderId="0" xfId="0" applyNumberFormat="1" applyFont="1"/>
    <xf numFmtId="165" fontId="3" fillId="0" borderId="5" xfId="0" applyNumberFormat="1" applyFont="1" applyBorder="1"/>
    <xf numFmtId="10" fontId="10" fillId="0" borderId="5" xfId="0" applyNumberFormat="1" applyFont="1" applyBorder="1"/>
    <xf numFmtId="9" fontId="3" fillId="0" borderId="5" xfId="0" applyNumberFormat="1" applyFont="1" applyBorder="1"/>
    <xf numFmtId="9" fontId="3" fillId="0" borderId="0" xfId="0" applyNumberFormat="1" applyFont="1"/>
    <xf numFmtId="0" fontId="15" fillId="4" borderId="0" xfId="0" applyFont="1" applyFill="1"/>
    <xf numFmtId="0" fontId="16" fillId="4" borderId="5" xfId="0" applyFont="1" applyFill="1" applyBorder="1"/>
    <xf numFmtId="165" fontId="16" fillId="0" borderId="11" xfId="0" applyNumberFormat="1" applyFont="1" applyBorder="1"/>
    <xf numFmtId="165" fontId="16" fillId="0" borderId="5" xfId="0" applyNumberFormat="1" applyFont="1" applyBorder="1" applyAlignment="1">
      <alignment horizontal="right"/>
    </xf>
    <xf numFmtId="165" fontId="16" fillId="0" borderId="5" xfId="0" applyNumberFormat="1" applyFont="1" applyBorder="1"/>
    <xf numFmtId="9" fontId="16" fillId="0" borderId="5" xfId="0" applyNumberFormat="1" applyFont="1" applyBorder="1"/>
    <xf numFmtId="9" fontId="16" fillId="0" borderId="0" xfId="0" applyNumberFormat="1" applyFont="1"/>
    <xf numFmtId="165" fontId="16" fillId="0" borderId="11" xfId="0" applyNumberFormat="1" applyFont="1" applyBorder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7" fillId="4" borderId="0" xfId="0" applyFont="1" applyFill="1"/>
    <xf numFmtId="0" fontId="17" fillId="4" borderId="5" xfId="0" applyFont="1" applyFill="1" applyBorder="1"/>
    <xf numFmtId="165" fontId="18" fillId="0" borderId="5" xfId="0" applyNumberFormat="1" applyFont="1" applyBorder="1"/>
    <xf numFmtId="0" fontId="19" fillId="4" borderId="0" xfId="0" applyFont="1" applyFill="1"/>
    <xf numFmtId="0" fontId="20" fillId="0" borderId="0" xfId="0" applyFont="1"/>
    <xf numFmtId="0" fontId="21" fillId="4" borderId="0" xfId="0" applyFont="1" applyFill="1"/>
    <xf numFmtId="10" fontId="9" fillId="0" borderId="5" xfId="0" applyNumberFormat="1" applyFont="1" applyBorder="1"/>
    <xf numFmtId="0" fontId="21" fillId="0" borderId="0" xfId="0" applyFont="1"/>
    <xf numFmtId="0" fontId="22" fillId="4" borderId="0" xfId="0" applyFont="1" applyFill="1"/>
    <xf numFmtId="0" fontId="22" fillId="4" borderId="11" xfId="0" applyFont="1" applyFill="1" applyBorder="1"/>
    <xf numFmtId="0" fontId="14" fillId="4" borderId="11" xfId="0" applyFont="1" applyFill="1" applyBorder="1"/>
    <xf numFmtId="165" fontId="18" fillId="4" borderId="5" xfId="0" applyNumberFormat="1" applyFont="1" applyFill="1" applyBorder="1"/>
    <xf numFmtId="165" fontId="3" fillId="0" borderId="0" xfId="0" applyNumberFormat="1" applyFont="1"/>
    <xf numFmtId="0" fontId="13" fillId="0" borderId="0" xfId="0" applyFont="1"/>
    <xf numFmtId="10" fontId="9" fillId="0" borderId="0" xfId="0" applyNumberFormat="1" applyFont="1"/>
    <xf numFmtId="166" fontId="3" fillId="0" borderId="5" xfId="0" applyNumberFormat="1" applyFont="1" applyBorder="1"/>
    <xf numFmtId="167" fontId="10" fillId="0" borderId="3" xfId="0" applyNumberFormat="1" applyFont="1" applyBorder="1" applyAlignment="1">
      <alignment horizontal="right"/>
    </xf>
    <xf numFmtId="167" fontId="13" fillId="0" borderId="12" xfId="0" applyNumberFormat="1" applyFont="1" applyBorder="1"/>
    <xf numFmtId="165" fontId="3" fillId="0" borderId="3" xfId="0" applyNumberFormat="1" applyFont="1" applyBorder="1" applyAlignment="1">
      <alignment horizontal="right"/>
    </xf>
    <xf numFmtId="165" fontId="3" fillId="5" borderId="3" xfId="0" applyNumberFormat="1" applyFont="1" applyFill="1" applyBorder="1" applyAlignment="1">
      <alignment horizontal="right"/>
    </xf>
    <xf numFmtId="166" fontId="9" fillId="0" borderId="0" xfId="0" applyNumberFormat="1" applyFont="1"/>
    <xf numFmtId="0" fontId="18" fillId="4" borderId="0" xfId="0" applyFont="1" applyFill="1"/>
    <xf numFmtId="165" fontId="9" fillId="0" borderId="5" xfId="0" applyNumberFormat="1" applyFont="1" applyBorder="1"/>
    <xf numFmtId="0" fontId="25" fillId="12" borderId="0" xfId="0" applyFont="1" applyFill="1" applyAlignment="1">
      <alignment horizontal="right"/>
    </xf>
    <xf numFmtId="0" fontId="7" fillId="0" borderId="0" xfId="0" applyFont="1"/>
    <xf numFmtId="0" fontId="4" fillId="2" borderId="5" xfId="0" applyFont="1" applyFill="1" applyBorder="1" applyAlignment="1">
      <alignment horizontal="center"/>
    </xf>
    <xf numFmtId="165" fontId="28" fillId="0" borderId="3" xfId="0" applyNumberFormat="1" applyFont="1" applyBorder="1"/>
    <xf numFmtId="165" fontId="27" fillId="0" borderId="0" xfId="0" applyNumberFormat="1" applyFont="1"/>
    <xf numFmtId="10" fontId="27" fillId="0" borderId="0" xfId="0" applyNumberFormat="1" applyFont="1"/>
    <xf numFmtId="165" fontId="30" fillId="0" borderId="14" xfId="0" applyNumberFormat="1" applyFont="1" applyBorder="1"/>
    <xf numFmtId="0" fontId="31" fillId="4" borderId="5" xfId="0" applyFont="1" applyFill="1" applyBorder="1"/>
    <xf numFmtId="0" fontId="9" fillId="0" borderId="0" xfId="0" applyFont="1" applyAlignment="1">
      <alignment horizontal="center"/>
    </xf>
    <xf numFmtId="0" fontId="35" fillId="0" borderId="0" xfId="0" applyFont="1"/>
    <xf numFmtId="0" fontId="33" fillId="0" borderId="0" xfId="0" applyFont="1" applyAlignment="1">
      <alignment vertical="center"/>
    </xf>
    <xf numFmtId="165" fontId="36" fillId="0" borderId="4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9" fontId="3" fillId="0" borderId="0" xfId="2" applyFont="1"/>
    <xf numFmtId="165" fontId="3" fillId="0" borderId="1" xfId="0" applyNumberFormat="1" applyFont="1" applyBorder="1"/>
    <xf numFmtId="164" fontId="38" fillId="0" borderId="16" xfId="1" applyFont="1" applyBorder="1"/>
    <xf numFmtId="10" fontId="38" fillId="0" borderId="16" xfId="2" applyNumberFormat="1" applyFont="1" applyBorder="1"/>
    <xf numFmtId="10" fontId="38" fillId="0" borderId="15" xfId="2" applyNumberFormat="1" applyFont="1" applyBorder="1"/>
    <xf numFmtId="10" fontId="38" fillId="0" borderId="17" xfId="2" applyNumberFormat="1" applyFont="1" applyBorder="1"/>
    <xf numFmtId="165" fontId="18" fillId="14" borderId="5" xfId="0" applyNumberFormat="1" applyFont="1" applyFill="1" applyBorder="1"/>
    <xf numFmtId="0" fontId="17" fillId="14" borderId="5" xfId="0" applyFont="1" applyFill="1" applyBorder="1"/>
    <xf numFmtId="165" fontId="3" fillId="14" borderId="5" xfId="0" applyNumberFormat="1" applyFont="1" applyFill="1" applyBorder="1"/>
    <xf numFmtId="165" fontId="3" fillId="15" borderId="1" xfId="0" applyNumberFormat="1" applyFont="1" applyFill="1" applyBorder="1"/>
    <xf numFmtId="165" fontId="3" fillId="0" borderId="11" xfId="0" applyNumberFormat="1" applyFont="1" applyBorder="1"/>
    <xf numFmtId="0" fontId="38" fillId="0" borderId="15" xfId="0" applyFont="1" applyBorder="1"/>
    <xf numFmtId="10" fontId="0" fillId="0" borderId="0" xfId="2" applyNumberFormat="1" applyFont="1"/>
    <xf numFmtId="165" fontId="3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10" fontId="10" fillId="0" borderId="0" xfId="0" applyNumberFormat="1" applyFont="1"/>
    <xf numFmtId="10" fontId="38" fillId="0" borderId="0" xfId="2" applyNumberFormat="1" applyFont="1" applyBorder="1"/>
    <xf numFmtId="164" fontId="38" fillId="0" borderId="0" xfId="1" applyFont="1" applyBorder="1"/>
    <xf numFmtId="0" fontId="5" fillId="0" borderId="0" xfId="0" applyFont="1"/>
    <xf numFmtId="2" fontId="3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165" fontId="28" fillId="0" borderId="0" xfId="0" applyNumberFormat="1" applyFont="1"/>
    <xf numFmtId="0" fontId="5" fillId="15" borderId="0" xfId="0" applyFont="1" applyFill="1"/>
    <xf numFmtId="0" fontId="5" fillId="0" borderId="12" xfId="0" applyFont="1" applyBorder="1"/>
    <xf numFmtId="169" fontId="0" fillId="0" borderId="0" xfId="0" applyNumberFormat="1"/>
    <xf numFmtId="164" fontId="10" fillId="0" borderId="0" xfId="1" applyFont="1"/>
    <xf numFmtId="164" fontId="3" fillId="0" borderId="0" xfId="1" applyFont="1"/>
    <xf numFmtId="0" fontId="2" fillId="16" borderId="0" xfId="0" applyFont="1" applyFill="1" applyAlignment="1">
      <alignment horizontal="center" vertical="center"/>
    </xf>
    <xf numFmtId="0" fontId="1" fillId="16" borderId="0" xfId="0" applyFont="1" applyFill="1"/>
    <xf numFmtId="0" fontId="5" fillId="16" borderId="0" xfId="0" applyFont="1" applyFill="1"/>
    <xf numFmtId="0" fontId="4" fillId="17" borderId="0" xfId="0" applyFont="1" applyFill="1" applyAlignment="1">
      <alignment horizontal="center"/>
    </xf>
    <xf numFmtId="165" fontId="12" fillId="16" borderId="0" xfId="0" applyNumberFormat="1" applyFont="1" applyFill="1" applyAlignment="1">
      <alignment vertical="top"/>
    </xf>
    <xf numFmtId="2" fontId="36" fillId="16" borderId="0" xfId="0" applyNumberFormat="1" applyFont="1" applyFill="1" applyAlignment="1">
      <alignment horizontal="center" vertical="center"/>
    </xf>
    <xf numFmtId="165" fontId="9" fillId="16" borderId="0" xfId="0" applyNumberFormat="1" applyFont="1" applyFill="1" applyAlignment="1">
      <alignment horizontal="center"/>
    </xf>
    <xf numFmtId="0" fontId="5" fillId="16" borderId="0" xfId="0" applyFont="1" applyFill="1" applyAlignment="1">
      <alignment horizontal="right"/>
    </xf>
    <xf numFmtId="165" fontId="28" fillId="16" borderId="0" xfId="0" applyNumberFormat="1" applyFont="1" applyFill="1"/>
    <xf numFmtId="0" fontId="0" fillId="16" borderId="0" xfId="0" applyFill="1"/>
    <xf numFmtId="0" fontId="23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0" fillId="0" borderId="0" xfId="1" applyNumberFormat="1" applyFont="1" applyAlignment="1">
      <alignment horizontal="right"/>
    </xf>
    <xf numFmtId="166" fontId="27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164" fontId="27" fillId="0" borderId="0" xfId="1" applyFont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6" fontId="3" fillId="0" borderId="28" xfId="0" applyNumberFormat="1" applyFont="1" applyBorder="1" applyAlignment="1">
      <alignment horizontal="right"/>
    </xf>
    <xf numFmtId="166" fontId="3" fillId="15" borderId="2" xfId="0" applyNumberFormat="1" applyFont="1" applyFill="1" applyBorder="1" applyAlignment="1">
      <alignment horizontal="right"/>
    </xf>
    <xf numFmtId="166" fontId="3" fillId="15" borderId="25" xfId="0" applyNumberFormat="1" applyFont="1" applyFill="1" applyBorder="1" applyAlignment="1">
      <alignment horizontal="right"/>
    </xf>
    <xf numFmtId="0" fontId="34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67" fontId="10" fillId="0" borderId="2" xfId="0" applyNumberFormat="1" applyFont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167" fontId="10" fillId="0" borderId="28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167" fontId="10" fillId="0" borderId="3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center"/>
    </xf>
    <xf numFmtId="168" fontId="10" fillId="0" borderId="25" xfId="0" applyNumberFormat="1" applyFont="1" applyBorder="1" applyAlignment="1">
      <alignment horizontal="right"/>
    </xf>
    <xf numFmtId="168" fontId="10" fillId="0" borderId="23" xfId="0" applyNumberFormat="1" applyFont="1" applyBorder="1" applyAlignment="1">
      <alignment horizontal="right"/>
    </xf>
    <xf numFmtId="167" fontId="10" fillId="0" borderId="2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5" fontId="16" fillId="0" borderId="2" xfId="0" applyNumberFormat="1" applyFont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center"/>
    </xf>
    <xf numFmtId="165" fontId="16" fillId="0" borderId="6" xfId="0" applyNumberFormat="1" applyFont="1" applyBorder="1" applyAlignment="1">
      <alignment horizontal="right"/>
    </xf>
    <xf numFmtId="165" fontId="37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/>
    </xf>
    <xf numFmtId="165" fontId="36" fillId="0" borderId="4" xfId="0" applyNumberFormat="1" applyFont="1" applyBorder="1" applyAlignment="1">
      <alignment horizontal="center" vertical="center"/>
    </xf>
    <xf numFmtId="2" fontId="36" fillId="0" borderId="4" xfId="1" applyNumberFormat="1" applyFont="1" applyBorder="1" applyAlignment="1">
      <alignment horizontal="center" vertical="center"/>
    </xf>
    <xf numFmtId="2" fontId="36" fillId="0" borderId="4" xfId="0" applyNumberFormat="1" applyFont="1" applyBorder="1" applyAlignment="1">
      <alignment horizontal="center" vertical="center"/>
    </xf>
    <xf numFmtId="2" fontId="37" fillId="0" borderId="4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24" fillId="11" borderId="13" xfId="0" applyNumberFormat="1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vertical="top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4" xfId="0" applyFont="1" applyBorder="1" applyAlignment="1"/>
    <xf numFmtId="0" fontId="5" fillId="0" borderId="7" xfId="0" applyFont="1" applyBorder="1" applyAlignment="1"/>
    <xf numFmtId="0" fontId="5" fillId="0" borderId="6" xfId="0" applyFont="1" applyBorder="1" applyAlignment="1"/>
    <xf numFmtId="165" fontId="10" fillId="0" borderId="1" xfId="0" applyNumberFormat="1" applyFont="1" applyBorder="1" applyAlignment="1"/>
    <xf numFmtId="165" fontId="10" fillId="0" borderId="3" xfId="0" applyNumberFormat="1" applyFont="1" applyBorder="1"/>
    <xf numFmtId="165" fontId="10" fillId="0" borderId="5" xfId="0" applyNumberFormat="1" applyFont="1" applyBorder="1"/>
    <xf numFmtId="165" fontId="16" fillId="0" borderId="1" xfId="0" applyNumberFormat="1" applyFont="1" applyBorder="1" applyAlignment="1"/>
    <xf numFmtId="165" fontId="16" fillId="0" borderId="6" xfId="0" applyNumberFormat="1" applyFont="1" applyBorder="1" applyAlignment="1"/>
    <xf numFmtId="165" fontId="16" fillId="13" borderId="1" xfId="0" applyNumberFormat="1" applyFont="1" applyFill="1" applyBorder="1" applyAlignment="1"/>
    <xf numFmtId="165" fontId="10" fillId="0" borderId="2" xfId="0" applyNumberFormat="1" applyFont="1" applyBorder="1" applyAlignment="1"/>
    <xf numFmtId="165" fontId="10" fillId="0" borderId="3" xfId="0" applyNumberFormat="1" applyFont="1" applyBorder="1" applyAlignment="1"/>
    <xf numFmtId="165" fontId="18" fillId="4" borderId="1" xfId="0" applyNumberFormat="1" applyFont="1" applyFill="1" applyBorder="1" applyAlignment="1"/>
    <xf numFmtId="165" fontId="18" fillId="0" borderId="1" xfId="0" applyNumberFormat="1" applyFont="1" applyBorder="1" applyAlignment="1"/>
    <xf numFmtId="165" fontId="26" fillId="0" borderId="1" xfId="0" applyNumberFormat="1" applyFont="1" applyBorder="1" applyAlignment="1"/>
    <xf numFmtId="165" fontId="28" fillId="0" borderId="1" xfId="0" applyNumberFormat="1" applyFont="1" applyBorder="1" applyAlignment="1"/>
    <xf numFmtId="165" fontId="28" fillId="0" borderId="2" xfId="0" applyNumberFormat="1" applyFont="1" applyBorder="1" applyAlignment="1"/>
    <xf numFmtId="165" fontId="28" fillId="0" borderId="3" xfId="0" applyNumberFormat="1" applyFont="1" applyBorder="1" applyAlignment="1"/>
    <xf numFmtId="165" fontId="29" fillId="0" borderId="1" xfId="0" applyNumberFormat="1" applyFont="1" applyBorder="1" applyAlignment="1"/>
    <xf numFmtId="165" fontId="29" fillId="0" borderId="2" xfId="0" applyNumberFormat="1" applyFont="1" applyBorder="1" applyAlignment="1"/>
    <xf numFmtId="165" fontId="29" fillId="0" borderId="3" xfId="0" applyNumberFormat="1" applyFont="1" applyBorder="1" applyAlignment="1"/>
    <xf numFmtId="0" fontId="9" fillId="0" borderId="0" xfId="0" applyFont="1" applyAlignment="1"/>
    <xf numFmtId="0" fontId="0" fillId="0" borderId="0" xfId="0" applyAlignment="1"/>
    <xf numFmtId="165" fontId="18" fillId="14" borderId="1" xfId="0" applyNumberFormat="1" applyFont="1" applyFill="1" applyBorder="1" applyAlignment="1"/>
    <xf numFmtId="0" fontId="5" fillId="15" borderId="2" xfId="0" applyFont="1" applyFill="1" applyBorder="1" applyAlignment="1"/>
    <xf numFmtId="0" fontId="5" fillId="15" borderId="3" xfId="0" applyFont="1" applyFill="1" applyBorder="1" applyAlignment="1"/>
    <xf numFmtId="165" fontId="18" fillId="4" borderId="8" xfId="0" applyNumberFormat="1" applyFont="1" applyFill="1" applyBorder="1" applyAlignment="1"/>
    <xf numFmtId="0" fontId="5" fillId="0" borderId="19" xfId="0" applyFont="1" applyBorder="1" applyAlignment="1"/>
    <xf numFmtId="0" fontId="5" fillId="0" borderId="22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  <xf numFmtId="0" fontId="5" fillId="0" borderId="27" xfId="0" applyFont="1" applyBorder="1" applyAlignment="1"/>
    <xf numFmtId="0" fontId="5" fillId="0" borderId="29" xfId="0" applyFont="1" applyBorder="1" applyAlignment="1"/>
    <xf numFmtId="0" fontId="5" fillId="0" borderId="30" xfId="0" applyFont="1" applyBorder="1" applyAlignment="1"/>
    <xf numFmtId="0" fontId="5" fillId="0" borderId="11" xfId="0" applyFont="1" applyBorder="1" applyAlignment="1"/>
    <xf numFmtId="165" fontId="10" fillId="0" borderId="18" xfId="0" applyNumberFormat="1" applyFont="1" applyBorder="1" applyAlignment="1"/>
    <xf numFmtId="0" fontId="5" fillId="0" borderId="20" xfId="0" applyFont="1" applyBorder="1" applyAlignment="1"/>
    <xf numFmtId="165" fontId="10" fillId="0" borderId="21" xfId="0" applyNumberFormat="1" applyFont="1" applyBorder="1" applyAlignment="1"/>
    <xf numFmtId="165" fontId="10" fillId="0" borderId="23" xfId="0" applyNumberFormat="1" applyFont="1" applyBorder="1" applyAlignment="1"/>
    <xf numFmtId="165" fontId="10" fillId="0" borderId="24" xfId="0" applyNumberFormat="1" applyFont="1" applyBorder="1" applyAlignment="1"/>
    <xf numFmtId="166" fontId="9" fillId="0" borderId="0" xfId="0" applyNumberFormat="1" applyFont="1" applyAlignment="1"/>
    <xf numFmtId="0" fontId="5" fillId="15" borderId="26" xfId="0" applyFont="1" applyFill="1" applyBorder="1" applyAlignment="1"/>
    <xf numFmtId="0" fontId="5" fillId="15" borderId="27" xfId="0" applyFont="1" applyFill="1" applyBorder="1" applyAlignmen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8C4C-42A1-8143-AD64-3ECC334C792B}">
  <sheetPr>
    <tabColor rgb="FF6AA84F"/>
    <outlinePr summaryBelow="0" summaryRight="0"/>
    <pageSetUpPr fitToPage="1"/>
  </sheetPr>
  <dimension ref="A1:FK154"/>
  <sheetViews>
    <sheetView tabSelected="1" zoomScale="91" zoomScaleNormal="91" workbookViewId="0">
      <pane xSplit="4" ySplit="8" topLeftCell="E41" activePane="bottomRight" state="frozen"/>
      <selection pane="bottomRight" activeCell="DW41" sqref="DW41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6.140625" customWidth="1"/>
    <col min="5" max="26" width="3" customWidth="1"/>
    <col min="27" max="28" width="3.7109375" customWidth="1"/>
    <col min="29" max="34" width="3" customWidth="1"/>
    <col min="35" max="35" width="3.85546875" customWidth="1"/>
    <col min="36" max="40" width="3" customWidth="1"/>
    <col min="41" max="41" width="11" customWidth="1"/>
    <col min="42" max="42" width="2.28515625" customWidth="1"/>
    <col min="43" max="43" width="1" customWidth="1"/>
    <col min="44" max="44" width="3.85546875" customWidth="1"/>
    <col min="45" max="45" width="5" customWidth="1"/>
    <col min="46" max="50" width="3" customWidth="1"/>
    <col min="51" max="51" width="13.140625" customWidth="1"/>
    <col min="52" max="52" width="3" customWidth="1"/>
    <col min="53" max="53" width="4" customWidth="1"/>
    <col min="54" max="54" width="6.7109375" customWidth="1"/>
    <col min="55" max="59" width="3" customWidth="1"/>
    <col min="60" max="60" width="13.7109375" bestFit="1" customWidth="1"/>
    <col min="61" max="61" width="9.28515625" bestFit="1" customWidth="1"/>
    <col min="62" max="63" width="3" customWidth="1"/>
    <col min="64" max="65" width="3" style="118" customWidth="1"/>
    <col min="66" max="88" width="3" customWidth="1"/>
    <col min="89" max="89" width="2.140625" bestFit="1" customWidth="1"/>
    <col min="90" max="102" width="3" customWidth="1"/>
    <col min="103" max="103" width="14" bestFit="1" customWidth="1"/>
    <col min="104" max="112" width="3" customWidth="1"/>
    <col min="113" max="113" width="14" bestFit="1" customWidth="1"/>
    <col min="114" max="115" width="3" customWidth="1"/>
    <col min="116" max="116" width="4.85546875" customWidth="1"/>
    <col min="117" max="123" width="3" customWidth="1"/>
    <col min="124" max="124" width="3.28515625" customWidth="1"/>
    <col min="125" max="125" width="13.7109375" bestFit="1" customWidth="1"/>
    <col min="126" max="126" width="10.7109375" bestFit="1" customWidth="1"/>
    <col min="127" max="127" width="25.28515625" customWidth="1"/>
    <col min="128" max="154" width="9.28515625" customWidth="1"/>
    <col min="155" max="155" width="2.7109375" customWidth="1"/>
    <col min="156" max="156" width="13.28515625" customWidth="1"/>
    <col min="157" max="157" width="7" customWidth="1"/>
    <col min="158" max="158" width="14.85546875" customWidth="1"/>
    <col min="159" max="159" width="7.28515625" customWidth="1"/>
    <col min="160" max="160" width="3.28515625" customWidth="1"/>
    <col min="161" max="161" width="14.140625" customWidth="1"/>
    <col min="162" max="164" width="7.28515625" customWidth="1"/>
    <col min="167" max="167" width="14.7109375" bestFit="1" customWidth="1"/>
  </cols>
  <sheetData>
    <row r="1" spans="1:164" ht="12.95" customHeight="1">
      <c r="A1" s="1"/>
      <c r="B1" s="1"/>
      <c r="C1" s="1"/>
      <c r="D1" s="1"/>
      <c r="E1" s="123" t="s">
        <v>0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94"/>
      <c r="BH1" s="1"/>
      <c r="BI1" s="1"/>
      <c r="BJ1" s="94"/>
      <c r="BK1" s="94"/>
      <c r="BL1" s="109"/>
      <c r="BM1" s="109"/>
      <c r="BN1" s="94"/>
      <c r="BO1" s="123" t="s">
        <v>1</v>
      </c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94"/>
      <c r="DR1" s="94"/>
      <c r="DS1" s="94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</row>
    <row r="2" spans="1:164" ht="30.95">
      <c r="A2" s="1"/>
      <c r="B2" s="1"/>
      <c r="C2" s="1"/>
      <c r="D2" s="1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94"/>
      <c r="BH2" s="1"/>
      <c r="BI2" s="1"/>
      <c r="BJ2" s="94"/>
      <c r="BK2" s="94"/>
      <c r="BL2" s="109"/>
      <c r="BM2" s="109"/>
      <c r="BN2" s="94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94"/>
      <c r="DR2" s="94"/>
      <c r="DS2" s="94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1:164" ht="14.1" thickBot="1">
      <c r="A3" s="1" t="s">
        <v>2</v>
      </c>
      <c r="B3" s="1"/>
      <c r="C3" s="1">
        <v>2</v>
      </c>
      <c r="D3" s="1">
        <v>95000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4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10"/>
      <c r="BM3" s="110"/>
      <c r="BN3" s="1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3"/>
      <c r="CE3" s="3"/>
      <c r="CF3" s="3"/>
      <c r="CH3" s="2"/>
      <c r="CI3" s="2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74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</row>
    <row r="4" spans="1:164" ht="14.1" thickBot="1">
      <c r="A4" s="1"/>
      <c r="B4" s="1"/>
      <c r="C4" s="1"/>
      <c r="D4" s="1"/>
      <c r="E4" s="175" t="s">
        <v>3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10"/>
      <c r="BM4" s="110"/>
      <c r="BN4" s="1"/>
      <c r="BO4" s="175" t="s">
        <v>3</v>
      </c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6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4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</row>
    <row r="5" spans="1:164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2"/>
      <c r="T5" s="182" t="s">
        <v>4</v>
      </c>
      <c r="U5" s="187"/>
      <c r="V5" s="188"/>
      <c r="W5" s="1"/>
      <c r="X5" s="5"/>
      <c r="Y5" s="182" t="s">
        <v>5</v>
      </c>
      <c r="Z5" s="187"/>
      <c r="AA5" s="188"/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66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10"/>
      <c r="BM5" s="110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5"/>
      <c r="CB5" s="6"/>
      <c r="CC5" s="2"/>
      <c r="CD5" s="182" t="s">
        <v>4</v>
      </c>
      <c r="CE5" s="187"/>
      <c r="CF5" s="188"/>
      <c r="CG5" s="1"/>
      <c r="CH5" s="5"/>
      <c r="CI5" s="182" t="s">
        <v>5</v>
      </c>
      <c r="CJ5" s="187"/>
      <c r="CK5" s="188"/>
      <c r="CL5" s="6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66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</row>
    <row r="6" spans="1:164" ht="48.75" customHeight="1" thickBot="1">
      <c r="A6" s="1"/>
      <c r="B6" s="1"/>
      <c r="C6" s="1"/>
      <c r="D6" s="7" t="s">
        <v>6</v>
      </c>
      <c r="E6" s="177" t="s">
        <v>7</v>
      </c>
      <c r="F6" s="185"/>
      <c r="G6" s="185"/>
      <c r="H6" s="186"/>
      <c r="I6" s="175" t="s">
        <v>3</v>
      </c>
      <c r="J6" s="185"/>
      <c r="K6" s="185"/>
      <c r="L6" s="185"/>
      <c r="M6" s="186"/>
      <c r="N6" s="175" t="s">
        <v>8</v>
      </c>
      <c r="O6" s="185"/>
      <c r="P6" s="185"/>
      <c r="Q6" s="185"/>
      <c r="R6" s="186"/>
      <c r="S6" s="175" t="s">
        <v>9</v>
      </c>
      <c r="T6" s="185"/>
      <c r="U6" s="185"/>
      <c r="V6" s="185"/>
      <c r="W6" s="186"/>
      <c r="X6" s="181" t="s">
        <v>10</v>
      </c>
      <c r="Y6" s="185"/>
      <c r="Z6" s="185"/>
      <c r="AA6" s="186"/>
      <c r="AB6" s="175" t="s">
        <v>11</v>
      </c>
      <c r="AC6" s="185"/>
      <c r="AD6" s="185"/>
      <c r="AE6" s="186"/>
      <c r="AF6" s="175" t="s">
        <v>12</v>
      </c>
      <c r="AG6" s="185"/>
      <c r="AH6" s="185"/>
      <c r="AI6" s="186"/>
      <c r="AJ6" s="175" t="s">
        <v>13</v>
      </c>
      <c r="AK6" s="185"/>
      <c r="AL6" s="185"/>
      <c r="AM6" s="185"/>
      <c r="AN6" s="186"/>
      <c r="AO6" s="8" t="s">
        <v>14</v>
      </c>
      <c r="AP6" s="175" t="s">
        <v>15</v>
      </c>
      <c r="AQ6" s="185"/>
      <c r="AR6" s="185"/>
      <c r="AS6" s="186"/>
      <c r="AT6" s="175" t="s">
        <v>16</v>
      </c>
      <c r="AU6" s="185"/>
      <c r="AV6" s="185"/>
      <c r="AW6" s="185"/>
      <c r="AX6" s="186"/>
      <c r="AY6" s="8" t="s">
        <v>17</v>
      </c>
      <c r="AZ6" s="177" t="s">
        <v>18</v>
      </c>
      <c r="BA6" s="178"/>
      <c r="BB6" s="179"/>
      <c r="BC6" s="175" t="s">
        <v>3</v>
      </c>
      <c r="BD6" s="185"/>
      <c r="BE6" s="185"/>
      <c r="BF6" s="186"/>
      <c r="BG6" s="100"/>
      <c r="BH6" s="1"/>
      <c r="BI6" s="1"/>
      <c r="BJ6" s="100"/>
      <c r="BK6" s="100"/>
      <c r="BL6" s="111"/>
      <c r="BM6" s="111"/>
      <c r="BN6" s="100"/>
      <c r="BO6" s="177" t="s">
        <v>7</v>
      </c>
      <c r="BP6" s="185"/>
      <c r="BQ6" s="185"/>
      <c r="BR6" s="186"/>
      <c r="BS6" s="175" t="s">
        <v>3</v>
      </c>
      <c r="BT6" s="185"/>
      <c r="BU6" s="185"/>
      <c r="BV6" s="185"/>
      <c r="BW6" s="186"/>
      <c r="BX6" s="175" t="s">
        <v>8</v>
      </c>
      <c r="BY6" s="185"/>
      <c r="BZ6" s="185"/>
      <c r="CA6" s="185"/>
      <c r="CB6" s="186"/>
      <c r="CC6" s="175" t="s">
        <v>9</v>
      </c>
      <c r="CD6" s="185"/>
      <c r="CE6" s="185"/>
      <c r="CF6" s="185"/>
      <c r="CG6" s="186"/>
      <c r="CH6" s="181" t="s">
        <v>10</v>
      </c>
      <c r="CI6" s="185"/>
      <c r="CJ6" s="185"/>
      <c r="CK6" s="186"/>
      <c r="CL6" s="175" t="s">
        <v>11</v>
      </c>
      <c r="CM6" s="185"/>
      <c r="CN6" s="185"/>
      <c r="CO6" s="186"/>
      <c r="CP6" s="175" t="s">
        <v>12</v>
      </c>
      <c r="CQ6" s="185"/>
      <c r="CR6" s="185"/>
      <c r="CS6" s="186"/>
      <c r="CT6" s="175" t="s">
        <v>13</v>
      </c>
      <c r="CU6" s="185"/>
      <c r="CV6" s="185"/>
      <c r="CW6" s="185"/>
      <c r="CX6" s="186"/>
      <c r="CY6" s="8" t="s">
        <v>14</v>
      </c>
      <c r="CZ6" s="175" t="s">
        <v>15</v>
      </c>
      <c r="DA6" s="185"/>
      <c r="DB6" s="185"/>
      <c r="DC6" s="186"/>
      <c r="DD6" s="175" t="s">
        <v>16</v>
      </c>
      <c r="DE6" s="185"/>
      <c r="DF6" s="185"/>
      <c r="DG6" s="185"/>
      <c r="DH6" s="186"/>
      <c r="DI6" s="8" t="s">
        <v>17</v>
      </c>
      <c r="DJ6" s="177" t="s">
        <v>18</v>
      </c>
      <c r="DK6" s="178"/>
      <c r="DL6" s="179"/>
      <c r="DM6" s="175" t="s">
        <v>3</v>
      </c>
      <c r="DN6" s="185"/>
      <c r="DO6" s="185"/>
      <c r="DP6" s="186"/>
      <c r="DQ6" s="100"/>
      <c r="DR6" s="100"/>
      <c r="DS6" s="100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 t="s">
        <v>19</v>
      </c>
      <c r="FC6" s="1"/>
      <c r="FD6" s="1"/>
      <c r="FE6" s="1"/>
      <c r="FF6" s="1"/>
      <c r="FG6" s="1"/>
      <c r="FH6" s="1"/>
    </row>
    <row r="7" spans="1:164" ht="14.1" thickBot="1">
      <c r="A7" s="9"/>
      <c r="B7" s="10"/>
      <c r="C7" s="10"/>
      <c r="D7" s="7" t="s">
        <v>20</v>
      </c>
      <c r="E7" s="175" t="s">
        <v>21</v>
      </c>
      <c r="F7" s="185"/>
      <c r="G7" s="185"/>
      <c r="H7" s="186"/>
      <c r="I7" s="175" t="s">
        <v>22</v>
      </c>
      <c r="J7" s="185"/>
      <c r="K7" s="185"/>
      <c r="L7" s="185"/>
      <c r="M7" s="186"/>
      <c r="N7" s="175" t="s">
        <v>23</v>
      </c>
      <c r="O7" s="185"/>
      <c r="P7" s="185"/>
      <c r="Q7" s="185"/>
      <c r="R7" s="186"/>
      <c r="S7" s="180" t="s">
        <v>24</v>
      </c>
      <c r="T7" s="189"/>
      <c r="U7" s="189"/>
      <c r="V7" s="189"/>
      <c r="W7" s="190"/>
      <c r="X7" s="175" t="s">
        <v>25</v>
      </c>
      <c r="Y7" s="185"/>
      <c r="Z7" s="185"/>
      <c r="AA7" s="186"/>
      <c r="AB7" s="175" t="s">
        <v>26</v>
      </c>
      <c r="AC7" s="185"/>
      <c r="AD7" s="185"/>
      <c r="AE7" s="186"/>
      <c r="AF7" s="175" t="s">
        <v>27</v>
      </c>
      <c r="AG7" s="185"/>
      <c r="AH7" s="185"/>
      <c r="AI7" s="186"/>
      <c r="AJ7" s="175" t="s">
        <v>28</v>
      </c>
      <c r="AK7" s="185"/>
      <c r="AL7" s="185"/>
      <c r="AM7" s="185"/>
      <c r="AN7" s="186"/>
      <c r="AO7" s="11" t="s">
        <v>29</v>
      </c>
      <c r="AP7" s="175" t="s">
        <v>29</v>
      </c>
      <c r="AQ7" s="185"/>
      <c r="AR7" s="185"/>
      <c r="AS7" s="186"/>
      <c r="AT7" s="175" t="s">
        <v>30</v>
      </c>
      <c r="AU7" s="185"/>
      <c r="AV7" s="185"/>
      <c r="AW7" s="185"/>
      <c r="AX7" s="186"/>
      <c r="AY7" s="11" t="s">
        <v>17</v>
      </c>
      <c r="AZ7" s="175" t="s">
        <v>17</v>
      </c>
      <c r="BA7" s="185"/>
      <c r="BB7" s="186"/>
      <c r="BC7" s="175" t="s">
        <v>31</v>
      </c>
      <c r="BD7" s="185"/>
      <c r="BE7" s="185"/>
      <c r="BF7" s="186"/>
      <c r="BG7" s="100"/>
      <c r="BH7" s="11" t="s">
        <v>32</v>
      </c>
      <c r="BI7" s="11" t="s">
        <v>33</v>
      </c>
      <c r="BJ7" s="100"/>
      <c r="BK7" s="100"/>
      <c r="BL7" s="111"/>
      <c r="BM7" s="111"/>
      <c r="BN7" s="100"/>
      <c r="BO7" s="175" t="s">
        <v>21</v>
      </c>
      <c r="BP7" s="185"/>
      <c r="BQ7" s="185"/>
      <c r="BR7" s="186"/>
      <c r="BS7" s="175" t="s">
        <v>22</v>
      </c>
      <c r="BT7" s="185"/>
      <c r="BU7" s="185"/>
      <c r="BV7" s="185"/>
      <c r="BW7" s="186"/>
      <c r="BX7" s="175" t="s">
        <v>23</v>
      </c>
      <c r="BY7" s="185"/>
      <c r="BZ7" s="185"/>
      <c r="CA7" s="185"/>
      <c r="CB7" s="186"/>
      <c r="CC7" s="180" t="s">
        <v>24</v>
      </c>
      <c r="CD7" s="189"/>
      <c r="CE7" s="189"/>
      <c r="CF7" s="189"/>
      <c r="CG7" s="190"/>
      <c r="CH7" s="175" t="s">
        <v>25</v>
      </c>
      <c r="CI7" s="185"/>
      <c r="CJ7" s="185"/>
      <c r="CK7" s="186"/>
      <c r="CL7" s="175" t="s">
        <v>26</v>
      </c>
      <c r="CM7" s="185"/>
      <c r="CN7" s="185"/>
      <c r="CO7" s="186"/>
      <c r="CP7" s="175" t="s">
        <v>27</v>
      </c>
      <c r="CQ7" s="185"/>
      <c r="CR7" s="185"/>
      <c r="CS7" s="186"/>
      <c r="CT7" s="175" t="s">
        <v>28</v>
      </c>
      <c r="CU7" s="185"/>
      <c r="CV7" s="185"/>
      <c r="CW7" s="185"/>
      <c r="CX7" s="186"/>
      <c r="CY7" s="11" t="s">
        <v>29</v>
      </c>
      <c r="CZ7" s="175" t="s">
        <v>29</v>
      </c>
      <c r="DA7" s="185"/>
      <c r="DB7" s="185"/>
      <c r="DC7" s="186"/>
      <c r="DD7" s="175" t="s">
        <v>30</v>
      </c>
      <c r="DE7" s="185"/>
      <c r="DF7" s="185"/>
      <c r="DG7" s="185"/>
      <c r="DH7" s="186"/>
      <c r="DI7" s="11" t="s">
        <v>17</v>
      </c>
      <c r="DJ7" s="175" t="s">
        <v>17</v>
      </c>
      <c r="DK7" s="185"/>
      <c r="DL7" s="186"/>
      <c r="DM7" s="175" t="s">
        <v>31</v>
      </c>
      <c r="DN7" s="185"/>
      <c r="DO7" s="185"/>
      <c r="DP7" s="186"/>
      <c r="DQ7" s="100"/>
      <c r="DR7" s="100"/>
      <c r="DS7" s="100"/>
      <c r="DT7" s="12"/>
      <c r="DU7" s="11" t="s">
        <v>32</v>
      </c>
      <c r="DV7" s="11" t="s">
        <v>33</v>
      </c>
      <c r="DW7" s="2" t="s">
        <v>34</v>
      </c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Z7" s="11" t="s">
        <v>35</v>
      </c>
      <c r="FA7" s="11" t="s">
        <v>33</v>
      </c>
      <c r="FB7" s="11" t="s">
        <v>36</v>
      </c>
      <c r="FC7" s="11" t="s">
        <v>37</v>
      </c>
      <c r="FD7" s="2"/>
      <c r="FE7" s="11" t="s">
        <v>38</v>
      </c>
      <c r="FF7" s="2"/>
      <c r="FG7" s="2"/>
      <c r="FH7" s="2"/>
    </row>
    <row r="8" spans="1:164" ht="14.1" thickBot="1">
      <c r="A8" s="13"/>
      <c r="B8" s="13"/>
      <c r="C8" s="13"/>
      <c r="D8" s="14"/>
      <c r="E8" s="15">
        <v>29</v>
      </c>
      <c r="F8" s="15">
        <v>5</v>
      </c>
      <c r="G8" s="15">
        <v>12</v>
      </c>
      <c r="H8" s="15">
        <v>19</v>
      </c>
      <c r="I8" s="15">
        <v>26</v>
      </c>
      <c r="J8" s="15">
        <v>3</v>
      </c>
      <c r="K8" s="15">
        <v>10</v>
      </c>
      <c r="L8" s="15">
        <v>17</v>
      </c>
      <c r="M8" s="15">
        <v>24</v>
      </c>
      <c r="N8" s="15">
        <v>31</v>
      </c>
      <c r="O8" s="15">
        <v>6</v>
      </c>
      <c r="P8" s="15">
        <v>12</v>
      </c>
      <c r="Q8" s="15">
        <v>19</v>
      </c>
      <c r="R8" s="15">
        <v>28</v>
      </c>
      <c r="S8" s="176">
        <v>4</v>
      </c>
      <c r="T8" s="186"/>
      <c r="U8" s="15">
        <v>11</v>
      </c>
      <c r="V8" s="15">
        <v>18</v>
      </c>
      <c r="W8" s="15">
        <v>25</v>
      </c>
      <c r="X8" s="15">
        <v>3</v>
      </c>
      <c r="Y8" s="15">
        <v>10</v>
      </c>
      <c r="Z8" s="15">
        <v>17</v>
      </c>
      <c r="AA8" s="15">
        <v>24</v>
      </c>
      <c r="AB8" s="67">
        <v>31</v>
      </c>
      <c r="AC8" s="15">
        <v>7</v>
      </c>
      <c r="AD8" s="15">
        <v>14</v>
      </c>
      <c r="AE8" s="15">
        <v>21</v>
      </c>
      <c r="AF8" s="67">
        <v>28</v>
      </c>
      <c r="AG8" s="15">
        <v>5</v>
      </c>
      <c r="AH8" s="15">
        <v>12</v>
      </c>
      <c r="AI8" s="15">
        <v>19</v>
      </c>
      <c r="AJ8" s="15">
        <v>26</v>
      </c>
      <c r="AK8" s="67">
        <v>2</v>
      </c>
      <c r="AL8" s="15">
        <v>9</v>
      </c>
      <c r="AM8" s="15">
        <v>16</v>
      </c>
      <c r="AN8" s="15">
        <v>23</v>
      </c>
      <c r="AO8" s="67">
        <v>30</v>
      </c>
      <c r="AP8" s="176">
        <v>7</v>
      </c>
      <c r="AQ8" s="186"/>
      <c r="AR8" s="15">
        <v>14</v>
      </c>
      <c r="AS8" s="15">
        <v>21</v>
      </c>
      <c r="AT8" s="15">
        <v>28</v>
      </c>
      <c r="AU8" s="15">
        <v>4</v>
      </c>
      <c r="AV8" s="15">
        <v>11</v>
      </c>
      <c r="AW8" s="15">
        <v>18</v>
      </c>
      <c r="AX8" s="15">
        <v>25</v>
      </c>
      <c r="AY8" s="11" t="s">
        <v>39</v>
      </c>
      <c r="AZ8" s="15">
        <v>8</v>
      </c>
      <c r="BA8" s="67">
        <v>15</v>
      </c>
      <c r="BB8" s="15">
        <v>22</v>
      </c>
      <c r="BC8" s="15">
        <v>29</v>
      </c>
      <c r="BD8" s="15">
        <v>6</v>
      </c>
      <c r="BE8" s="15">
        <v>13</v>
      </c>
      <c r="BF8" s="15">
        <v>20</v>
      </c>
      <c r="BG8" s="17"/>
      <c r="BH8" s="17"/>
      <c r="BI8" s="17"/>
      <c r="BJ8" s="17"/>
      <c r="BK8" s="17"/>
      <c r="BL8" s="112"/>
      <c r="BM8" s="112"/>
      <c r="BN8" s="17"/>
      <c r="BO8" s="15">
        <v>29</v>
      </c>
      <c r="BP8" s="15">
        <v>5</v>
      </c>
      <c r="BQ8" s="15">
        <v>12</v>
      </c>
      <c r="BR8" s="15">
        <v>19</v>
      </c>
      <c r="BS8" s="15">
        <v>26</v>
      </c>
      <c r="BT8" s="15">
        <v>3</v>
      </c>
      <c r="BU8" s="15">
        <v>10</v>
      </c>
      <c r="BV8" s="15">
        <v>17</v>
      </c>
      <c r="BW8" s="15">
        <v>24</v>
      </c>
      <c r="BX8" s="15">
        <v>31</v>
      </c>
      <c r="BY8" s="15">
        <v>6</v>
      </c>
      <c r="BZ8" s="15">
        <v>12</v>
      </c>
      <c r="CA8" s="15">
        <v>19</v>
      </c>
      <c r="CB8" s="15">
        <v>28</v>
      </c>
      <c r="CC8" s="176">
        <v>4</v>
      </c>
      <c r="CD8" s="186"/>
      <c r="CE8" s="15">
        <v>11</v>
      </c>
      <c r="CF8" s="15">
        <v>18</v>
      </c>
      <c r="CG8" s="15">
        <v>25</v>
      </c>
      <c r="CH8" s="15">
        <v>3</v>
      </c>
      <c r="CI8" s="15">
        <v>10</v>
      </c>
      <c r="CJ8" s="15">
        <v>17</v>
      </c>
      <c r="CK8" s="15">
        <v>24</v>
      </c>
      <c r="CL8" s="67">
        <v>31</v>
      </c>
      <c r="CM8" s="15">
        <v>7</v>
      </c>
      <c r="CN8" s="15">
        <v>14</v>
      </c>
      <c r="CO8" s="15">
        <v>21</v>
      </c>
      <c r="CP8" s="67">
        <v>28</v>
      </c>
      <c r="CQ8" s="15">
        <v>5</v>
      </c>
      <c r="CR8" s="15">
        <v>12</v>
      </c>
      <c r="CS8" s="15">
        <v>19</v>
      </c>
      <c r="CT8" s="15">
        <v>26</v>
      </c>
      <c r="CU8" s="67">
        <v>2</v>
      </c>
      <c r="CV8" s="15">
        <v>9</v>
      </c>
      <c r="CW8" s="15">
        <v>16</v>
      </c>
      <c r="CX8" s="15">
        <v>23</v>
      </c>
      <c r="CY8" s="67">
        <v>30</v>
      </c>
      <c r="CZ8" s="176">
        <v>7</v>
      </c>
      <c r="DA8" s="186"/>
      <c r="DB8" s="15">
        <v>14</v>
      </c>
      <c r="DC8" s="15">
        <v>21</v>
      </c>
      <c r="DD8" s="15">
        <v>28</v>
      </c>
      <c r="DE8" s="15">
        <v>4</v>
      </c>
      <c r="DF8" s="15">
        <v>11</v>
      </c>
      <c r="DG8" s="15">
        <v>18</v>
      </c>
      <c r="DH8" s="15">
        <v>25</v>
      </c>
      <c r="DI8" s="11" t="s">
        <v>39</v>
      </c>
      <c r="DJ8" s="15">
        <v>8</v>
      </c>
      <c r="DK8" s="67">
        <v>15</v>
      </c>
      <c r="DL8" s="15">
        <v>22</v>
      </c>
      <c r="DM8" s="15">
        <v>29</v>
      </c>
      <c r="DN8" s="15">
        <v>6</v>
      </c>
      <c r="DO8" s="15">
        <v>13</v>
      </c>
      <c r="DP8" s="15">
        <v>20</v>
      </c>
      <c r="DQ8" s="17"/>
      <c r="DR8" s="17"/>
      <c r="DS8" s="17"/>
      <c r="DT8" s="16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Z8" s="17"/>
      <c r="FA8" s="17"/>
      <c r="FB8" s="17"/>
      <c r="FC8" s="17"/>
      <c r="FD8" s="17"/>
      <c r="FE8" s="17"/>
      <c r="FF8" s="17"/>
      <c r="FG8" s="17"/>
      <c r="FH8" s="17"/>
    </row>
    <row r="9" spans="1:164" ht="18">
      <c r="A9" s="18"/>
      <c r="B9" s="18"/>
      <c r="C9" s="18"/>
      <c r="D9" s="184" t="s">
        <v>40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18"/>
      <c r="BH9" s="22"/>
      <c r="BI9" s="22"/>
      <c r="BJ9" s="18"/>
      <c r="BK9" s="18"/>
      <c r="BL9" s="113"/>
      <c r="BM9" s="113"/>
      <c r="BN9" s="18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20"/>
      <c r="DQ9" s="18"/>
      <c r="DR9" s="18"/>
      <c r="DS9" s="18"/>
      <c r="DT9" s="21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Z9" s="22"/>
      <c r="FA9" s="22"/>
      <c r="FB9" s="22"/>
      <c r="FC9" s="22"/>
      <c r="FD9" s="22"/>
      <c r="FE9" s="22"/>
      <c r="FF9" s="22"/>
      <c r="FG9" s="22"/>
      <c r="FH9" s="22"/>
    </row>
    <row r="10" spans="1:164" ht="18.95" thickBot="1">
      <c r="A10" s="18"/>
      <c r="B10" s="18"/>
      <c r="C10" s="18"/>
      <c r="D10" s="191"/>
      <c r="E10" s="174">
        <v>0.91891891891891886</v>
      </c>
      <c r="F10" s="174"/>
      <c r="G10" s="174"/>
      <c r="H10" s="174"/>
      <c r="I10" s="172">
        <v>0.91891891891891886</v>
      </c>
      <c r="J10" s="172"/>
      <c r="K10" s="172"/>
      <c r="L10" s="172"/>
      <c r="M10" s="172"/>
      <c r="N10" s="172">
        <v>0.91891891891891886</v>
      </c>
      <c r="O10" s="172"/>
      <c r="P10" s="172"/>
      <c r="Q10" s="172"/>
      <c r="R10" s="172"/>
      <c r="S10" s="172">
        <v>0.91891891891891886</v>
      </c>
      <c r="T10" s="172"/>
      <c r="U10" s="172"/>
      <c r="V10" s="172"/>
      <c r="W10" s="172"/>
      <c r="X10" s="169">
        <v>0.91891891891891897</v>
      </c>
      <c r="Y10" s="170"/>
      <c r="Z10" s="170"/>
      <c r="AA10" s="170"/>
      <c r="AB10" s="169">
        <v>0.91891891891891886</v>
      </c>
      <c r="AC10" s="170"/>
      <c r="AD10" s="170"/>
      <c r="AE10" s="170"/>
      <c r="AF10" s="169">
        <v>0.91891891891891886</v>
      </c>
      <c r="AG10" s="170"/>
      <c r="AH10" s="170"/>
      <c r="AI10" s="170"/>
      <c r="AJ10" s="171">
        <v>0.91891891891891886</v>
      </c>
      <c r="AK10" s="171"/>
      <c r="AL10" s="171"/>
      <c r="AM10" s="171"/>
      <c r="AN10" s="171"/>
      <c r="AO10" s="75">
        <v>0.91891891891891897</v>
      </c>
      <c r="AP10" s="171">
        <v>0.91891891891891897</v>
      </c>
      <c r="AQ10" s="171"/>
      <c r="AR10" s="171"/>
      <c r="AS10" s="171"/>
      <c r="AT10" s="172">
        <v>0.91891891891891897</v>
      </c>
      <c r="AU10" s="172"/>
      <c r="AV10" s="172"/>
      <c r="AW10" s="172"/>
      <c r="AX10" s="172"/>
      <c r="AY10" s="76">
        <v>0.91891891891891897</v>
      </c>
      <c r="AZ10" s="173">
        <v>0.91891891891891897</v>
      </c>
      <c r="BA10" s="173"/>
      <c r="BB10" s="173"/>
      <c r="BC10" s="173">
        <v>0.91891891891891897</v>
      </c>
      <c r="BD10" s="173"/>
      <c r="BE10" s="173"/>
      <c r="BF10" s="173"/>
      <c r="BG10" s="101"/>
      <c r="BH10" s="22"/>
      <c r="BI10" s="22"/>
      <c r="BJ10" s="101"/>
      <c r="BK10" s="101"/>
      <c r="BL10" s="114"/>
      <c r="BM10" s="114"/>
      <c r="BN10" s="101"/>
      <c r="BO10" s="174">
        <v>0.91891891891891886</v>
      </c>
      <c r="BP10" s="174"/>
      <c r="BQ10" s="174"/>
      <c r="BR10" s="174"/>
      <c r="BS10" s="172">
        <v>0.91891891891891886</v>
      </c>
      <c r="BT10" s="172"/>
      <c r="BU10" s="172"/>
      <c r="BV10" s="172"/>
      <c r="BW10" s="172"/>
      <c r="BX10" s="172">
        <v>0.91891891891891886</v>
      </c>
      <c r="BY10" s="172"/>
      <c r="BZ10" s="172"/>
      <c r="CA10" s="172"/>
      <c r="CB10" s="172"/>
      <c r="CC10" s="172">
        <v>0.91891891891891886</v>
      </c>
      <c r="CD10" s="172"/>
      <c r="CE10" s="172"/>
      <c r="CF10" s="172"/>
      <c r="CG10" s="172"/>
      <c r="CH10" s="169">
        <v>0.91891891891891897</v>
      </c>
      <c r="CI10" s="170"/>
      <c r="CJ10" s="170"/>
      <c r="CK10" s="170"/>
      <c r="CL10" s="169">
        <v>0.91891891891891886</v>
      </c>
      <c r="CM10" s="170"/>
      <c r="CN10" s="170"/>
      <c r="CO10" s="170"/>
      <c r="CP10" s="169">
        <v>0.91891891891891886</v>
      </c>
      <c r="CQ10" s="170"/>
      <c r="CR10" s="170"/>
      <c r="CS10" s="170"/>
      <c r="CT10" s="171">
        <v>0.91891891891891886</v>
      </c>
      <c r="CU10" s="171"/>
      <c r="CV10" s="171"/>
      <c r="CW10" s="171"/>
      <c r="CX10" s="171"/>
      <c r="CY10" s="75">
        <v>0.91891891891891897</v>
      </c>
      <c r="CZ10" s="171">
        <v>0.91891891891891897</v>
      </c>
      <c r="DA10" s="171"/>
      <c r="DB10" s="171"/>
      <c r="DC10" s="171"/>
      <c r="DD10" s="172">
        <v>0.91891891891891897</v>
      </c>
      <c r="DE10" s="172"/>
      <c r="DF10" s="172"/>
      <c r="DG10" s="172"/>
      <c r="DH10" s="172"/>
      <c r="DI10" s="76">
        <v>0.91891891891891897</v>
      </c>
      <c r="DJ10" s="173">
        <v>0.91891891891891897</v>
      </c>
      <c r="DK10" s="173"/>
      <c r="DL10" s="173"/>
      <c r="DM10" s="173">
        <v>0.91891891891891897</v>
      </c>
      <c r="DN10" s="173"/>
      <c r="DO10" s="173"/>
      <c r="DP10" s="173"/>
      <c r="DQ10" s="101"/>
      <c r="DR10" s="101"/>
      <c r="DS10" s="101"/>
      <c r="DT10" s="21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Z10" s="22"/>
      <c r="FA10" s="22"/>
      <c r="FB10" s="22"/>
      <c r="FC10" s="22"/>
      <c r="FD10" s="22"/>
      <c r="FE10" s="22"/>
      <c r="FF10" s="22"/>
      <c r="FG10" s="22"/>
      <c r="FH10" s="22"/>
    </row>
    <row r="11" spans="1:164" ht="15" thickBot="1">
      <c r="A11" s="25" t="s">
        <v>41</v>
      </c>
      <c r="B11" s="25"/>
      <c r="C11" s="25"/>
      <c r="D11" s="26" t="s">
        <v>42</v>
      </c>
      <c r="E11" s="192">
        <v>0</v>
      </c>
      <c r="F11" s="185"/>
      <c r="G11" s="185"/>
      <c r="H11" s="186"/>
      <c r="I11" s="192">
        <v>0</v>
      </c>
      <c r="J11" s="185"/>
      <c r="K11" s="185"/>
      <c r="L11" s="185"/>
      <c r="M11" s="186"/>
      <c r="N11" s="192">
        <v>0</v>
      </c>
      <c r="O11" s="185"/>
      <c r="P11" s="185"/>
      <c r="Q11" s="185"/>
      <c r="R11" s="186"/>
      <c r="S11" s="192">
        <f>190000*S10</f>
        <v>174594.59459459459</v>
      </c>
      <c r="T11" s="185"/>
      <c r="U11" s="185"/>
      <c r="V11" s="185"/>
      <c r="W11" s="186"/>
      <c r="X11" s="192">
        <f>240000*X10</f>
        <v>220540.54054054056</v>
      </c>
      <c r="Y11" s="185"/>
      <c r="Z11" s="185"/>
      <c r="AA11" s="186"/>
      <c r="AB11" s="192">
        <f>AB10*380000</f>
        <v>349189.18918918917</v>
      </c>
      <c r="AC11" s="185"/>
      <c r="AD11" s="185"/>
      <c r="AE11" s="186"/>
      <c r="AF11" s="192">
        <f>AF10*285000</f>
        <v>261891.89189189186</v>
      </c>
      <c r="AG11" s="185"/>
      <c r="AH11" s="185"/>
      <c r="AI11" s="186"/>
      <c r="AJ11" s="192">
        <v>0</v>
      </c>
      <c r="AK11" s="185"/>
      <c r="AL11" s="185"/>
      <c r="AM11" s="185"/>
      <c r="AN11" s="186"/>
      <c r="AO11" s="193">
        <v>0</v>
      </c>
      <c r="AP11" s="192">
        <f>AP10*150000</f>
        <v>137837.83783783784</v>
      </c>
      <c r="AQ11" s="185"/>
      <c r="AR11" s="185"/>
      <c r="AS11" s="186"/>
      <c r="AT11" s="192">
        <f>AT10*45000</f>
        <v>41351.351351351354</v>
      </c>
      <c r="AU11" s="185"/>
      <c r="AV11" s="185"/>
      <c r="AW11" s="185"/>
      <c r="AX11" s="186"/>
      <c r="AY11" s="194">
        <v>0</v>
      </c>
      <c r="AZ11" s="192">
        <f>AZ10*190000</f>
        <v>174594.59459459462</v>
      </c>
      <c r="BA11" s="185"/>
      <c r="BB11" s="186"/>
      <c r="BC11" s="192">
        <v>0</v>
      </c>
      <c r="BD11" s="185"/>
      <c r="BE11" s="185"/>
      <c r="BF11" s="186"/>
      <c r="BG11" s="100"/>
      <c r="BH11" s="28">
        <f>SUM(E11:BF11)</f>
        <v>1359999.9999999998</v>
      </c>
      <c r="BI11" s="29">
        <f t="shared" ref="BI11:BI19" si="0">BH11/$DU$38</f>
        <v>0.3816027314158284</v>
      </c>
      <c r="BJ11" s="100"/>
      <c r="BK11" s="100"/>
      <c r="BL11" s="111"/>
      <c r="BM11" s="111"/>
      <c r="BN11" s="100"/>
      <c r="BO11" s="192">
        <v>0</v>
      </c>
      <c r="BP11" s="185"/>
      <c r="BQ11" s="185"/>
      <c r="BR11" s="186"/>
      <c r="BS11" s="192">
        <v>0</v>
      </c>
      <c r="BT11" s="185"/>
      <c r="BU11" s="185"/>
      <c r="BV11" s="185"/>
      <c r="BW11" s="186"/>
      <c r="BX11" s="192">
        <v>0</v>
      </c>
      <c r="BY11" s="185"/>
      <c r="BZ11" s="185"/>
      <c r="CA11" s="185"/>
      <c r="CB11" s="186"/>
      <c r="CC11" s="192">
        <v>136924.23000000001</v>
      </c>
      <c r="CD11" s="185"/>
      <c r="CE11" s="185"/>
      <c r="CF11" s="185"/>
      <c r="CG11" s="186"/>
      <c r="CH11" s="192">
        <v>293535.64</v>
      </c>
      <c r="CI11" s="185"/>
      <c r="CJ11" s="185"/>
      <c r="CK11" s="186"/>
      <c r="CL11" s="192">
        <v>341346.77</v>
      </c>
      <c r="CM11" s="185"/>
      <c r="CN11" s="185"/>
      <c r="CO11" s="186"/>
      <c r="CP11" s="192">
        <v>234883.64</v>
      </c>
      <c r="CQ11" s="185"/>
      <c r="CR11" s="185"/>
      <c r="CS11" s="186"/>
      <c r="CT11" s="192">
        <v>0</v>
      </c>
      <c r="CU11" s="185"/>
      <c r="CV11" s="185"/>
      <c r="CW11" s="185"/>
      <c r="CX11" s="186"/>
      <c r="CY11" s="193">
        <v>0</v>
      </c>
      <c r="CZ11" s="192">
        <v>122147.64</v>
      </c>
      <c r="DA11" s="185"/>
      <c r="DB11" s="185"/>
      <c r="DC11" s="186"/>
      <c r="DD11" s="192">
        <v>40671.89</v>
      </c>
      <c r="DE11" s="185"/>
      <c r="DF11" s="185"/>
      <c r="DG11" s="185"/>
      <c r="DH11" s="186"/>
      <c r="DI11" s="194">
        <v>0</v>
      </c>
      <c r="DJ11" s="192">
        <v>173830.68</v>
      </c>
      <c r="DK11" s="185"/>
      <c r="DL11" s="186"/>
      <c r="DM11" s="192">
        <v>0</v>
      </c>
      <c r="DN11" s="185"/>
      <c r="DO11" s="185"/>
      <c r="DP11" s="186"/>
      <c r="DQ11" s="100"/>
      <c r="DR11" s="100"/>
      <c r="DS11" s="100"/>
      <c r="DT11" s="27"/>
      <c r="DU11" s="28">
        <f>SUM(BO11:DP11)</f>
        <v>1343340.4899999998</v>
      </c>
      <c r="DV11" s="29">
        <f t="shared" ref="DV11:DV19" si="1">DU11/$DU$38</f>
        <v>0.37692823544520393</v>
      </c>
      <c r="DW11" s="107">
        <f>DU11-BH11</f>
        <v>-16659.510000000009</v>
      </c>
      <c r="DX11" s="97"/>
      <c r="DY11" s="97"/>
      <c r="DZ11" s="97"/>
      <c r="EA11" s="97"/>
      <c r="EB11" s="97"/>
      <c r="EC11" s="97"/>
      <c r="ED11" s="97"/>
      <c r="EE11" s="97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7"/>
      <c r="EW11" s="97"/>
      <c r="EX11" s="97"/>
      <c r="EZ11" s="28">
        <v>1578892.76</v>
      </c>
      <c r="FA11" s="29">
        <v>0.41189330063297536</v>
      </c>
      <c r="FB11" s="28">
        <v>-98892.760000000009</v>
      </c>
      <c r="FC11" s="30">
        <v>-6.2634247559663278E-2</v>
      </c>
      <c r="FD11" s="31"/>
      <c r="FE11" s="28">
        <v>1435000</v>
      </c>
      <c r="FF11" s="31"/>
      <c r="FG11" s="31"/>
      <c r="FH11" s="31"/>
    </row>
    <row r="12" spans="1:164" ht="14.1" hidden="1" thickBot="1">
      <c r="A12" s="32" t="s">
        <v>43</v>
      </c>
      <c r="B12" s="32">
        <v>0.9</v>
      </c>
      <c r="C12" s="32"/>
      <c r="D12" s="33" t="s">
        <v>43</v>
      </c>
      <c r="E12" s="195">
        <v>0</v>
      </c>
      <c r="F12" s="185"/>
      <c r="G12" s="185"/>
      <c r="H12" s="186"/>
      <c r="I12" s="195">
        <v>0</v>
      </c>
      <c r="J12" s="185"/>
      <c r="K12" s="185"/>
      <c r="L12" s="185"/>
      <c r="M12" s="186"/>
      <c r="N12" s="162">
        <v>0</v>
      </c>
      <c r="O12" s="185"/>
      <c r="P12" s="185"/>
      <c r="Q12" s="186"/>
      <c r="R12" s="34"/>
      <c r="S12" s="196">
        <v>171000</v>
      </c>
      <c r="T12" s="189"/>
      <c r="U12" s="189"/>
      <c r="V12" s="189"/>
      <c r="W12" s="190"/>
      <c r="X12" s="168">
        <v>216000</v>
      </c>
      <c r="Y12" s="189"/>
      <c r="Z12" s="189"/>
      <c r="AA12" s="190"/>
      <c r="AB12" s="168">
        <v>342000</v>
      </c>
      <c r="AC12" s="189"/>
      <c r="AD12" s="189"/>
      <c r="AE12" s="190"/>
      <c r="AF12" s="168">
        <v>256500</v>
      </c>
      <c r="AG12" s="189"/>
      <c r="AH12" s="189"/>
      <c r="AI12" s="190"/>
      <c r="AJ12" s="196">
        <v>0</v>
      </c>
      <c r="AK12" s="189"/>
      <c r="AL12" s="189"/>
      <c r="AM12" s="189"/>
      <c r="AN12" s="190"/>
      <c r="AO12" s="35">
        <v>0</v>
      </c>
      <c r="AP12" s="162">
        <v>135000</v>
      </c>
      <c r="AQ12" s="185"/>
      <c r="AR12" s="185"/>
      <c r="AS12" s="186"/>
      <c r="AT12" s="162">
        <v>40500</v>
      </c>
      <c r="AU12" s="185"/>
      <c r="AV12" s="185"/>
      <c r="AW12" s="185"/>
      <c r="AX12" s="186"/>
      <c r="AY12" s="35"/>
      <c r="AZ12" s="197" t="e">
        <v>#REF!</v>
      </c>
      <c r="BA12" s="185"/>
      <c r="BB12" s="186"/>
      <c r="BC12" s="162">
        <v>0</v>
      </c>
      <c r="BD12" s="185"/>
      <c r="BE12" s="185"/>
      <c r="BF12" s="186"/>
      <c r="BG12" s="100"/>
      <c r="BH12" s="28" t="e">
        <f t="shared" ref="BH12" si="2">#REF!+#REF!+#REF!+#REF!+#REF!+#REF!+#REF!+#REF!+#REF!+#REF!+#REF!+#REF!+#REF!+#REF!</f>
        <v>#REF!</v>
      </c>
      <c r="BI12" s="29" t="e">
        <f t="shared" si="0"/>
        <v>#REF!</v>
      </c>
      <c r="BJ12" s="100"/>
      <c r="BK12" s="100"/>
      <c r="BL12" s="111"/>
      <c r="BM12" s="111"/>
      <c r="BN12" s="100"/>
      <c r="BO12" s="195">
        <v>0</v>
      </c>
      <c r="BP12" s="185"/>
      <c r="BQ12" s="185"/>
      <c r="BR12" s="186"/>
      <c r="BS12" s="195">
        <v>0</v>
      </c>
      <c r="BT12" s="185"/>
      <c r="BU12" s="185"/>
      <c r="BV12" s="185"/>
      <c r="BW12" s="186"/>
      <c r="BX12" s="162">
        <v>0</v>
      </c>
      <c r="BY12" s="185"/>
      <c r="BZ12" s="185"/>
      <c r="CA12" s="186"/>
      <c r="CB12" s="34"/>
      <c r="CC12" s="196">
        <v>171000</v>
      </c>
      <c r="CD12" s="189"/>
      <c r="CE12" s="189"/>
      <c r="CF12" s="189"/>
      <c r="CG12" s="190"/>
      <c r="CH12" s="168">
        <v>216000</v>
      </c>
      <c r="CI12" s="189"/>
      <c r="CJ12" s="189"/>
      <c r="CK12" s="190"/>
      <c r="CL12" s="168">
        <v>342000</v>
      </c>
      <c r="CM12" s="189"/>
      <c r="CN12" s="189"/>
      <c r="CO12" s="190"/>
      <c r="CP12" s="168">
        <v>256500</v>
      </c>
      <c r="CQ12" s="189"/>
      <c r="CR12" s="189"/>
      <c r="CS12" s="190"/>
      <c r="CT12" s="196">
        <v>0</v>
      </c>
      <c r="CU12" s="189"/>
      <c r="CV12" s="189"/>
      <c r="CW12" s="189"/>
      <c r="CX12" s="190"/>
      <c r="CY12" s="35">
        <v>0</v>
      </c>
      <c r="CZ12" s="162">
        <v>135000</v>
      </c>
      <c r="DA12" s="185"/>
      <c r="DB12" s="185"/>
      <c r="DC12" s="186"/>
      <c r="DD12" s="162">
        <v>40500</v>
      </c>
      <c r="DE12" s="185"/>
      <c r="DF12" s="185"/>
      <c r="DG12" s="185"/>
      <c r="DH12" s="186"/>
      <c r="DI12" s="35"/>
      <c r="DJ12" s="197" t="e">
        <v>#REF!</v>
      </c>
      <c r="DK12" s="185"/>
      <c r="DL12" s="186"/>
      <c r="DM12" s="162">
        <v>0</v>
      </c>
      <c r="DN12" s="185"/>
      <c r="DO12" s="185"/>
      <c r="DP12" s="186"/>
      <c r="DQ12" s="100"/>
      <c r="DR12" s="100"/>
      <c r="DS12" s="100"/>
      <c r="DT12" s="12"/>
      <c r="DU12" s="28" t="e">
        <f t="shared" ref="DU12:DU18" si="3">BC12+AZ12+AY12+AT12+AP12+AO12+AJ12+AF12+AB12+X12+S12+N12+I12+E12</f>
        <v>#REF!</v>
      </c>
      <c r="DV12" s="29" t="e">
        <f t="shared" si="1"/>
        <v>#REF!</v>
      </c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Z12" s="36">
        <v>1421003.4840000002</v>
      </c>
      <c r="FA12" s="29">
        <v>0.37070397056967785</v>
      </c>
      <c r="FB12" s="36" t="e">
        <v>#REF!</v>
      </c>
      <c r="FC12" s="37" t="e">
        <v>#REF!</v>
      </c>
      <c r="FD12" s="38"/>
      <c r="FE12" s="36">
        <v>1299000</v>
      </c>
      <c r="FF12" s="38"/>
      <c r="FG12" s="38"/>
      <c r="FH12" s="38"/>
    </row>
    <row r="13" spans="1:164" ht="14.1" hidden="1" thickBot="1">
      <c r="A13" s="32" t="s">
        <v>44</v>
      </c>
      <c r="B13" s="32">
        <v>0.1</v>
      </c>
      <c r="C13" s="32"/>
      <c r="D13" s="33" t="s">
        <v>44</v>
      </c>
      <c r="E13" s="195">
        <v>0</v>
      </c>
      <c r="F13" s="185"/>
      <c r="G13" s="185"/>
      <c r="H13" s="186"/>
      <c r="I13" s="195">
        <v>0</v>
      </c>
      <c r="J13" s="185"/>
      <c r="K13" s="185"/>
      <c r="L13" s="185"/>
      <c r="M13" s="186"/>
      <c r="N13" s="168">
        <v>0</v>
      </c>
      <c r="O13" s="189"/>
      <c r="P13" s="189"/>
      <c r="Q13" s="190"/>
      <c r="R13" s="34"/>
      <c r="S13" s="195">
        <v>19000</v>
      </c>
      <c r="T13" s="185"/>
      <c r="U13" s="185"/>
      <c r="V13" s="185"/>
      <c r="W13" s="186"/>
      <c r="X13" s="168">
        <v>24000</v>
      </c>
      <c r="Y13" s="189"/>
      <c r="Z13" s="189"/>
      <c r="AA13" s="190"/>
      <c r="AB13" s="168">
        <v>38000</v>
      </c>
      <c r="AC13" s="189"/>
      <c r="AD13" s="189"/>
      <c r="AE13" s="190"/>
      <c r="AF13" s="168">
        <v>28500</v>
      </c>
      <c r="AG13" s="189"/>
      <c r="AH13" s="189"/>
      <c r="AI13" s="190"/>
      <c r="AJ13" s="195">
        <v>0</v>
      </c>
      <c r="AK13" s="185"/>
      <c r="AL13" s="185"/>
      <c r="AM13" s="185"/>
      <c r="AN13" s="186"/>
      <c r="AO13" s="39">
        <v>0</v>
      </c>
      <c r="AP13" s="168">
        <v>15000</v>
      </c>
      <c r="AQ13" s="189"/>
      <c r="AR13" s="189"/>
      <c r="AS13" s="190"/>
      <c r="AT13" s="168">
        <v>4500</v>
      </c>
      <c r="AU13" s="189"/>
      <c r="AV13" s="189"/>
      <c r="AW13" s="189"/>
      <c r="AX13" s="190"/>
      <c r="AY13" s="39"/>
      <c r="AZ13" s="197" t="e">
        <v>#REF!</v>
      </c>
      <c r="BA13" s="185"/>
      <c r="BB13" s="186"/>
      <c r="BC13" s="168">
        <v>0</v>
      </c>
      <c r="BD13" s="189"/>
      <c r="BE13" s="189"/>
      <c r="BF13" s="190"/>
      <c r="BG13" s="100"/>
      <c r="BH13" s="28" t="e">
        <f t="shared" ref="BH13" si="4">#REF!+#REF!+#REF!+#REF!+#REF!+#REF!+#REF!+#REF!+#REF!+#REF!+#REF!+#REF!+#REF!+#REF!</f>
        <v>#REF!</v>
      </c>
      <c r="BI13" s="29" t="e">
        <f t="shared" si="0"/>
        <v>#REF!</v>
      </c>
      <c r="BJ13" s="100"/>
      <c r="BK13" s="100"/>
      <c r="BL13" s="111"/>
      <c r="BM13" s="111"/>
      <c r="BN13" s="100"/>
      <c r="BO13" s="195">
        <v>0</v>
      </c>
      <c r="BP13" s="185"/>
      <c r="BQ13" s="185"/>
      <c r="BR13" s="186"/>
      <c r="BS13" s="195">
        <v>0</v>
      </c>
      <c r="BT13" s="185"/>
      <c r="BU13" s="185"/>
      <c r="BV13" s="185"/>
      <c r="BW13" s="186"/>
      <c r="BX13" s="168">
        <v>0</v>
      </c>
      <c r="BY13" s="189"/>
      <c r="BZ13" s="189"/>
      <c r="CA13" s="190"/>
      <c r="CB13" s="34"/>
      <c r="CC13" s="195">
        <v>19000</v>
      </c>
      <c r="CD13" s="185"/>
      <c r="CE13" s="185"/>
      <c r="CF13" s="185"/>
      <c r="CG13" s="186"/>
      <c r="CH13" s="168">
        <v>24000</v>
      </c>
      <c r="CI13" s="189"/>
      <c r="CJ13" s="189"/>
      <c r="CK13" s="190"/>
      <c r="CL13" s="168">
        <v>38000</v>
      </c>
      <c r="CM13" s="189"/>
      <c r="CN13" s="189"/>
      <c r="CO13" s="190"/>
      <c r="CP13" s="168">
        <v>28500</v>
      </c>
      <c r="CQ13" s="189"/>
      <c r="CR13" s="189"/>
      <c r="CS13" s="190"/>
      <c r="CT13" s="195">
        <v>0</v>
      </c>
      <c r="CU13" s="185"/>
      <c r="CV13" s="185"/>
      <c r="CW13" s="185"/>
      <c r="CX13" s="186"/>
      <c r="CY13" s="39">
        <v>0</v>
      </c>
      <c r="CZ13" s="168">
        <v>15000</v>
      </c>
      <c r="DA13" s="189"/>
      <c r="DB13" s="189"/>
      <c r="DC13" s="190"/>
      <c r="DD13" s="168">
        <v>4500</v>
      </c>
      <c r="DE13" s="189"/>
      <c r="DF13" s="189"/>
      <c r="DG13" s="189"/>
      <c r="DH13" s="190"/>
      <c r="DI13" s="39"/>
      <c r="DJ13" s="197" t="e">
        <v>#REF!</v>
      </c>
      <c r="DK13" s="185"/>
      <c r="DL13" s="186"/>
      <c r="DM13" s="168">
        <v>0</v>
      </c>
      <c r="DN13" s="189"/>
      <c r="DO13" s="189"/>
      <c r="DP13" s="190"/>
      <c r="DQ13" s="100"/>
      <c r="DR13" s="100"/>
      <c r="DS13" s="100"/>
      <c r="DT13" s="12"/>
      <c r="DU13" s="28" t="e">
        <f t="shared" si="3"/>
        <v>#REF!</v>
      </c>
      <c r="DV13" s="29" t="e">
        <f t="shared" si="1"/>
        <v>#REF!</v>
      </c>
      <c r="DW13" s="97"/>
      <c r="DX13" s="97"/>
      <c r="DY13" s="97"/>
      <c r="DZ13" s="97"/>
      <c r="EA13" s="97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Z13" s="36">
        <v>157889.27600000001</v>
      </c>
      <c r="FA13" s="29">
        <v>4.1189330063297537E-2</v>
      </c>
      <c r="FB13" s="36" t="e">
        <v>#REF!</v>
      </c>
      <c r="FC13" s="37" t="e">
        <v>#REF!</v>
      </c>
      <c r="FD13" s="38"/>
      <c r="FE13" s="36">
        <v>136000</v>
      </c>
      <c r="FF13" s="38"/>
      <c r="FG13" s="38"/>
      <c r="FH13" s="38"/>
    </row>
    <row r="14" spans="1:164" ht="15" thickBot="1">
      <c r="A14" s="25"/>
      <c r="B14" s="25"/>
      <c r="C14" s="25"/>
      <c r="D14" s="26" t="s">
        <v>45</v>
      </c>
      <c r="E14" s="192">
        <v>0</v>
      </c>
      <c r="F14" s="198"/>
      <c r="G14" s="198"/>
      <c r="H14" s="199"/>
      <c r="I14" s="192">
        <v>0</v>
      </c>
      <c r="J14" s="185"/>
      <c r="K14" s="185"/>
      <c r="L14" s="185"/>
      <c r="M14" s="186"/>
      <c r="N14" s="192">
        <v>0</v>
      </c>
      <c r="O14" s="185"/>
      <c r="P14" s="185"/>
      <c r="Q14" s="185"/>
      <c r="R14" s="186"/>
      <c r="S14" s="192">
        <v>0</v>
      </c>
      <c r="T14" s="185"/>
      <c r="U14" s="185"/>
      <c r="V14" s="185"/>
      <c r="W14" s="186"/>
      <c r="X14" s="192">
        <f>72736.24*X10</f>
        <v>66838.707027027034</v>
      </c>
      <c r="Y14" s="198"/>
      <c r="Z14" s="198"/>
      <c r="AA14" s="199"/>
      <c r="AB14" s="192">
        <f>AB10*166529</f>
        <v>153026.64864864864</v>
      </c>
      <c r="AC14" s="185"/>
      <c r="AD14" s="185"/>
      <c r="AE14" s="186"/>
      <c r="AF14" s="192">
        <f>AF10*141406</f>
        <v>129940.64864864864</v>
      </c>
      <c r="AG14" s="185"/>
      <c r="AH14" s="185"/>
      <c r="AI14" s="186"/>
      <c r="AJ14" s="192">
        <f>AJ10*169500</f>
        <v>155756.75675675675</v>
      </c>
      <c r="AK14" s="185"/>
      <c r="AL14" s="185"/>
      <c r="AM14" s="185"/>
      <c r="AN14" s="186"/>
      <c r="AO14" s="194">
        <f>AO10*102000</f>
        <v>93729.729729729734</v>
      </c>
      <c r="AP14" s="192">
        <f>AP10*60800</f>
        <v>55870.270270270274</v>
      </c>
      <c r="AQ14" s="185"/>
      <c r="AR14" s="185"/>
      <c r="AS14" s="186"/>
      <c r="AT14" s="192">
        <f>AT10*68900</f>
        <v>63313.513513513521</v>
      </c>
      <c r="AU14" s="185"/>
      <c r="AV14" s="185"/>
      <c r="AW14" s="185"/>
      <c r="AX14" s="186"/>
      <c r="AY14" s="194">
        <v>0</v>
      </c>
      <c r="AZ14" s="192">
        <f>(AZ10*31600)+(AY10*90350)</f>
        <v>112062.16216216217</v>
      </c>
      <c r="BA14" s="185"/>
      <c r="BB14" s="186"/>
      <c r="BC14" s="192">
        <v>0</v>
      </c>
      <c r="BD14" s="185"/>
      <c r="BE14" s="185"/>
      <c r="BF14" s="186"/>
      <c r="BG14" s="100"/>
      <c r="BH14" s="28">
        <f>SUM(E14:BF14)</f>
        <v>830538.43675675674</v>
      </c>
      <c r="BI14" s="29">
        <f t="shared" si="0"/>
        <v>0.23304098236191961</v>
      </c>
      <c r="BJ14" s="100"/>
      <c r="BK14" s="100"/>
      <c r="BL14" s="111"/>
      <c r="BM14" s="111"/>
      <c r="BN14" s="100"/>
      <c r="BO14" s="192">
        <v>0</v>
      </c>
      <c r="BP14" s="198"/>
      <c r="BQ14" s="198"/>
      <c r="BR14" s="199"/>
      <c r="BS14" s="192">
        <v>0</v>
      </c>
      <c r="BT14" s="185"/>
      <c r="BU14" s="185"/>
      <c r="BV14" s="185"/>
      <c r="BW14" s="186"/>
      <c r="BX14" s="192">
        <v>0</v>
      </c>
      <c r="BY14" s="185"/>
      <c r="BZ14" s="185"/>
      <c r="CA14" s="185"/>
      <c r="CB14" s="186"/>
      <c r="CC14" s="192">
        <v>0</v>
      </c>
      <c r="CD14" s="185"/>
      <c r="CE14" s="185"/>
      <c r="CF14" s="185"/>
      <c r="CG14" s="186"/>
      <c r="CH14" s="192">
        <v>66692.3</v>
      </c>
      <c r="CI14" s="198"/>
      <c r="CJ14" s="198"/>
      <c r="CK14" s="199"/>
      <c r="CL14" s="192">
        <v>144407.22</v>
      </c>
      <c r="CM14" s="185"/>
      <c r="CN14" s="185"/>
      <c r="CO14" s="186"/>
      <c r="CP14" s="192">
        <v>146743.85</v>
      </c>
      <c r="CQ14" s="185"/>
      <c r="CR14" s="185"/>
      <c r="CS14" s="186"/>
      <c r="CT14" s="192">
        <v>191181.87</v>
      </c>
      <c r="CU14" s="185"/>
      <c r="CV14" s="185"/>
      <c r="CW14" s="185"/>
      <c r="CX14" s="186"/>
      <c r="CY14" s="194">
        <f>141236.68*0.6</f>
        <v>84742.007999999987</v>
      </c>
      <c r="CZ14" s="192">
        <f>141236.68*0.4</f>
        <v>56494.671999999999</v>
      </c>
      <c r="DA14" s="185"/>
      <c r="DB14" s="185"/>
      <c r="DC14" s="186"/>
      <c r="DD14" s="192">
        <v>147818.48000000001</v>
      </c>
      <c r="DE14" s="185"/>
      <c r="DF14" s="185"/>
      <c r="DG14" s="185"/>
      <c r="DH14" s="186"/>
      <c r="DI14" s="194">
        <v>0</v>
      </c>
      <c r="DJ14" s="192">
        <v>37649.589999999997</v>
      </c>
      <c r="DK14" s="185"/>
      <c r="DL14" s="186"/>
      <c r="DM14" s="192">
        <v>0</v>
      </c>
      <c r="DN14" s="185"/>
      <c r="DO14" s="185"/>
      <c r="DP14" s="186"/>
      <c r="DQ14" s="100"/>
      <c r="DR14" s="100"/>
      <c r="DS14" s="100"/>
      <c r="DT14" s="27"/>
      <c r="DU14" s="28">
        <f>SUM(BO14:DP14)</f>
        <v>875729.99</v>
      </c>
      <c r="DV14" s="29">
        <f t="shared" si="1"/>
        <v>0.2457212912990854</v>
      </c>
      <c r="DW14" s="107">
        <f>DU14-BH14</f>
        <v>45191.553243243252</v>
      </c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Z14" s="28">
        <v>833924.10000000009</v>
      </c>
      <c r="FA14" s="29">
        <v>0.21754976571454002</v>
      </c>
      <c r="FB14" s="28">
        <v>52075.899999999907</v>
      </c>
      <c r="FC14" s="30">
        <v>6.2446810207307718E-2</v>
      </c>
      <c r="FD14" s="31"/>
      <c r="FE14" s="28">
        <v>685000</v>
      </c>
      <c r="FF14" s="31"/>
      <c r="FG14" s="31"/>
      <c r="FH14" s="31"/>
    </row>
    <row r="15" spans="1:164" ht="14.1" hidden="1" thickBot="1">
      <c r="A15" s="32" t="s">
        <v>43</v>
      </c>
      <c r="B15" s="32">
        <v>0.9</v>
      </c>
      <c r="C15" s="32"/>
      <c r="D15" s="33" t="s">
        <v>43</v>
      </c>
      <c r="E15" s="195">
        <v>0</v>
      </c>
      <c r="F15" s="185"/>
      <c r="G15" s="185"/>
      <c r="H15" s="186"/>
      <c r="I15" s="195">
        <v>0</v>
      </c>
      <c r="J15" s="185"/>
      <c r="K15" s="185"/>
      <c r="L15" s="185"/>
      <c r="M15" s="186"/>
      <c r="N15" s="195">
        <v>0</v>
      </c>
      <c r="O15" s="185"/>
      <c r="P15" s="185"/>
      <c r="Q15" s="186"/>
      <c r="R15" s="36"/>
      <c r="S15" s="195">
        <v>0</v>
      </c>
      <c r="T15" s="185"/>
      <c r="U15" s="185"/>
      <c r="V15" s="185"/>
      <c r="W15" s="186"/>
      <c r="X15" s="195">
        <v>0</v>
      </c>
      <c r="Y15" s="185"/>
      <c r="Z15" s="185"/>
      <c r="AA15" s="186"/>
      <c r="AB15" s="195">
        <v>148500</v>
      </c>
      <c r="AC15" s="185"/>
      <c r="AD15" s="185"/>
      <c r="AE15" s="186"/>
      <c r="AF15" s="195">
        <v>130500</v>
      </c>
      <c r="AG15" s="185"/>
      <c r="AH15" s="185"/>
      <c r="AI15" s="186"/>
      <c r="AJ15" s="195">
        <v>171000</v>
      </c>
      <c r="AK15" s="185"/>
      <c r="AL15" s="185"/>
      <c r="AM15" s="185"/>
      <c r="AN15" s="186"/>
      <c r="AO15" s="36"/>
      <c r="AP15" s="195">
        <v>67500</v>
      </c>
      <c r="AQ15" s="185"/>
      <c r="AR15" s="185"/>
      <c r="AS15" s="186"/>
      <c r="AT15" s="195">
        <v>67500</v>
      </c>
      <c r="AU15" s="185"/>
      <c r="AV15" s="185"/>
      <c r="AW15" s="185"/>
      <c r="AX15" s="186"/>
      <c r="AY15" s="36"/>
      <c r="AZ15" s="195">
        <v>126900</v>
      </c>
      <c r="BA15" s="185"/>
      <c r="BB15" s="186"/>
      <c r="BC15" s="195">
        <v>0</v>
      </c>
      <c r="BD15" s="185"/>
      <c r="BE15" s="185"/>
      <c r="BF15" s="186"/>
      <c r="BG15" s="100"/>
      <c r="BH15" s="28" t="e">
        <f t="shared" ref="BH15" si="5">#REF!+#REF!+#REF!+#REF!+#REF!+#REF!+#REF!+#REF!+#REF!+#REF!+#REF!+#REF!+#REF!+#REF!</f>
        <v>#REF!</v>
      </c>
      <c r="BI15" s="29" t="e">
        <f t="shared" si="0"/>
        <v>#REF!</v>
      </c>
      <c r="BJ15" s="100"/>
      <c r="BK15" s="100"/>
      <c r="BL15" s="111"/>
      <c r="BM15" s="111"/>
      <c r="BN15" s="100"/>
      <c r="BO15" s="195">
        <v>0</v>
      </c>
      <c r="BP15" s="185"/>
      <c r="BQ15" s="185"/>
      <c r="BR15" s="186"/>
      <c r="BS15" s="195">
        <v>0</v>
      </c>
      <c r="BT15" s="185"/>
      <c r="BU15" s="185"/>
      <c r="BV15" s="185"/>
      <c r="BW15" s="186"/>
      <c r="BX15" s="195">
        <v>0</v>
      </c>
      <c r="BY15" s="185"/>
      <c r="BZ15" s="185"/>
      <c r="CA15" s="186"/>
      <c r="CB15" s="36"/>
      <c r="CC15" s="195">
        <v>0</v>
      </c>
      <c r="CD15" s="185"/>
      <c r="CE15" s="185"/>
      <c r="CF15" s="185"/>
      <c r="CG15" s="186"/>
      <c r="CH15" s="195">
        <v>0</v>
      </c>
      <c r="CI15" s="185"/>
      <c r="CJ15" s="185"/>
      <c r="CK15" s="186"/>
      <c r="CL15" s="195">
        <v>148500</v>
      </c>
      <c r="CM15" s="185"/>
      <c r="CN15" s="185"/>
      <c r="CO15" s="186"/>
      <c r="CP15" s="195">
        <v>130500</v>
      </c>
      <c r="CQ15" s="185"/>
      <c r="CR15" s="185"/>
      <c r="CS15" s="186"/>
      <c r="CT15" s="195">
        <v>171000</v>
      </c>
      <c r="CU15" s="185"/>
      <c r="CV15" s="185"/>
      <c r="CW15" s="185"/>
      <c r="CX15" s="186"/>
      <c r="CY15" s="36"/>
      <c r="CZ15" s="195">
        <v>67500</v>
      </c>
      <c r="DA15" s="185"/>
      <c r="DB15" s="185"/>
      <c r="DC15" s="186"/>
      <c r="DD15" s="195">
        <v>67500</v>
      </c>
      <c r="DE15" s="185"/>
      <c r="DF15" s="185"/>
      <c r="DG15" s="185"/>
      <c r="DH15" s="186"/>
      <c r="DI15" s="36"/>
      <c r="DJ15" s="195">
        <v>126900</v>
      </c>
      <c r="DK15" s="185"/>
      <c r="DL15" s="186"/>
      <c r="DM15" s="195">
        <v>0</v>
      </c>
      <c r="DN15" s="185"/>
      <c r="DO15" s="185"/>
      <c r="DP15" s="186"/>
      <c r="DQ15" s="100"/>
      <c r="DR15" s="100"/>
      <c r="DS15" s="100"/>
      <c r="DT15" s="12"/>
      <c r="DU15" s="28">
        <f t="shared" si="3"/>
        <v>711900</v>
      </c>
      <c r="DV15" s="29">
        <f t="shared" si="1"/>
        <v>0.19975219448156492</v>
      </c>
      <c r="DW15" s="97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Z15" s="36">
        <v>614144.277</v>
      </c>
      <c r="FA15" s="29">
        <v>0.16021475284894099</v>
      </c>
      <c r="FB15" s="36">
        <v>97755.722999999998</v>
      </c>
      <c r="FC15" s="37">
        <v>0.15917387275433326</v>
      </c>
      <c r="FD15" s="38"/>
      <c r="FE15" s="36">
        <v>602800</v>
      </c>
      <c r="FF15" s="38"/>
      <c r="FG15" s="38"/>
      <c r="FH15" s="38"/>
    </row>
    <row r="16" spans="1:164" ht="14.1" hidden="1" thickBot="1">
      <c r="A16" s="32" t="s">
        <v>44</v>
      </c>
      <c r="B16" s="32">
        <v>0.1</v>
      </c>
      <c r="C16" s="32"/>
      <c r="D16" s="33" t="s">
        <v>44</v>
      </c>
      <c r="E16" s="195">
        <v>0</v>
      </c>
      <c r="F16" s="185"/>
      <c r="G16" s="185"/>
      <c r="H16" s="186"/>
      <c r="I16" s="195">
        <v>0</v>
      </c>
      <c r="J16" s="185"/>
      <c r="K16" s="185"/>
      <c r="L16" s="185"/>
      <c r="M16" s="186"/>
      <c r="N16" s="195">
        <v>0</v>
      </c>
      <c r="O16" s="185"/>
      <c r="P16" s="185"/>
      <c r="Q16" s="186"/>
      <c r="R16" s="36"/>
      <c r="S16" s="195">
        <v>0</v>
      </c>
      <c r="T16" s="185"/>
      <c r="U16" s="185"/>
      <c r="V16" s="185"/>
      <c r="W16" s="186"/>
      <c r="X16" s="195">
        <v>0</v>
      </c>
      <c r="Y16" s="185"/>
      <c r="Z16" s="185"/>
      <c r="AA16" s="186"/>
      <c r="AB16" s="195">
        <v>16500</v>
      </c>
      <c r="AC16" s="185"/>
      <c r="AD16" s="185"/>
      <c r="AE16" s="186"/>
      <c r="AF16" s="195">
        <v>14500</v>
      </c>
      <c r="AG16" s="185"/>
      <c r="AH16" s="185"/>
      <c r="AI16" s="186"/>
      <c r="AJ16" s="195">
        <v>19000</v>
      </c>
      <c r="AK16" s="185"/>
      <c r="AL16" s="185"/>
      <c r="AM16" s="185"/>
      <c r="AN16" s="186"/>
      <c r="AO16" s="36"/>
      <c r="AP16" s="195">
        <v>7500</v>
      </c>
      <c r="AQ16" s="185"/>
      <c r="AR16" s="185"/>
      <c r="AS16" s="186"/>
      <c r="AT16" s="195">
        <v>7500</v>
      </c>
      <c r="AU16" s="185"/>
      <c r="AV16" s="185"/>
      <c r="AW16" s="185"/>
      <c r="AX16" s="186"/>
      <c r="AY16" s="36"/>
      <c r="AZ16" s="195">
        <v>14100</v>
      </c>
      <c r="BA16" s="185"/>
      <c r="BB16" s="186"/>
      <c r="BC16" s="195">
        <v>0</v>
      </c>
      <c r="BD16" s="185"/>
      <c r="BE16" s="185"/>
      <c r="BF16" s="186"/>
      <c r="BG16" s="100"/>
      <c r="BH16" s="28" t="e">
        <f t="shared" ref="BH16" si="6">#REF!+#REF!+#REF!+#REF!+#REF!+#REF!+#REF!+#REF!+#REF!+#REF!+#REF!+#REF!+#REF!+#REF!</f>
        <v>#REF!</v>
      </c>
      <c r="BI16" s="29" t="e">
        <f t="shared" si="0"/>
        <v>#REF!</v>
      </c>
      <c r="BJ16" s="100"/>
      <c r="BK16" s="100"/>
      <c r="BL16" s="111"/>
      <c r="BM16" s="111"/>
      <c r="BN16" s="100"/>
      <c r="BO16" s="195">
        <v>0</v>
      </c>
      <c r="BP16" s="185"/>
      <c r="BQ16" s="185"/>
      <c r="BR16" s="186"/>
      <c r="BS16" s="195">
        <v>0</v>
      </c>
      <c r="BT16" s="185"/>
      <c r="BU16" s="185"/>
      <c r="BV16" s="185"/>
      <c r="BW16" s="186"/>
      <c r="BX16" s="195">
        <v>0</v>
      </c>
      <c r="BY16" s="185"/>
      <c r="BZ16" s="185"/>
      <c r="CA16" s="186"/>
      <c r="CB16" s="36"/>
      <c r="CC16" s="195">
        <v>0</v>
      </c>
      <c r="CD16" s="185"/>
      <c r="CE16" s="185"/>
      <c r="CF16" s="185"/>
      <c r="CG16" s="186"/>
      <c r="CH16" s="195">
        <v>0</v>
      </c>
      <c r="CI16" s="185"/>
      <c r="CJ16" s="185"/>
      <c r="CK16" s="186"/>
      <c r="CL16" s="195">
        <v>16500</v>
      </c>
      <c r="CM16" s="185"/>
      <c r="CN16" s="185"/>
      <c r="CO16" s="186"/>
      <c r="CP16" s="195">
        <v>14500</v>
      </c>
      <c r="CQ16" s="185"/>
      <c r="CR16" s="185"/>
      <c r="CS16" s="186"/>
      <c r="CT16" s="195">
        <v>19000</v>
      </c>
      <c r="CU16" s="185"/>
      <c r="CV16" s="185"/>
      <c r="CW16" s="185"/>
      <c r="CX16" s="186"/>
      <c r="CY16" s="36"/>
      <c r="CZ16" s="195">
        <v>7500</v>
      </c>
      <c r="DA16" s="185"/>
      <c r="DB16" s="185"/>
      <c r="DC16" s="186"/>
      <c r="DD16" s="195">
        <v>7500</v>
      </c>
      <c r="DE16" s="185"/>
      <c r="DF16" s="185"/>
      <c r="DG16" s="185"/>
      <c r="DH16" s="186"/>
      <c r="DI16" s="36"/>
      <c r="DJ16" s="195">
        <v>14100</v>
      </c>
      <c r="DK16" s="185"/>
      <c r="DL16" s="186"/>
      <c r="DM16" s="195">
        <v>0</v>
      </c>
      <c r="DN16" s="185"/>
      <c r="DO16" s="185"/>
      <c r="DP16" s="186"/>
      <c r="DQ16" s="100"/>
      <c r="DR16" s="100"/>
      <c r="DS16" s="100"/>
      <c r="DT16" s="12"/>
      <c r="DU16" s="28">
        <f t="shared" si="3"/>
        <v>79100</v>
      </c>
      <c r="DV16" s="29">
        <f t="shared" si="1"/>
        <v>2.2194688275729436E-2</v>
      </c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Z16" s="36">
        <v>68238.252999999997</v>
      </c>
      <c r="FA16" s="29">
        <v>1.7801639205437886E-2</v>
      </c>
      <c r="FB16" s="36">
        <v>10861.747000000003</v>
      </c>
      <c r="FC16" s="37">
        <v>0.15917387275433331</v>
      </c>
      <c r="FD16" s="38"/>
      <c r="FE16" s="36">
        <v>82200</v>
      </c>
      <c r="FF16" s="38"/>
      <c r="FG16" s="38"/>
      <c r="FH16" s="38"/>
    </row>
    <row r="17" spans="1:167" ht="15" thickBot="1">
      <c r="A17" s="40"/>
      <c r="B17" s="40"/>
      <c r="C17" s="40"/>
      <c r="D17" s="41" t="s">
        <v>46</v>
      </c>
      <c r="E17" s="192">
        <v>0</v>
      </c>
      <c r="F17" s="185"/>
      <c r="G17" s="185"/>
      <c r="H17" s="186"/>
      <c r="I17" s="192">
        <v>0</v>
      </c>
      <c r="J17" s="185"/>
      <c r="K17" s="185"/>
      <c r="L17" s="185"/>
      <c r="M17" s="186"/>
      <c r="N17" s="192">
        <v>0</v>
      </c>
      <c r="O17" s="185"/>
      <c r="P17" s="185"/>
      <c r="Q17" s="185"/>
      <c r="R17" s="186"/>
      <c r="S17" s="192">
        <v>0</v>
      </c>
      <c r="T17" s="185"/>
      <c r="U17" s="185"/>
      <c r="V17" s="185"/>
      <c r="W17" s="186"/>
      <c r="X17" s="192">
        <v>0</v>
      </c>
      <c r="Y17" s="185"/>
      <c r="Z17" s="185"/>
      <c r="AA17" s="186"/>
      <c r="AB17" s="192">
        <v>0</v>
      </c>
      <c r="AC17" s="185"/>
      <c r="AD17" s="185"/>
      <c r="AE17" s="186"/>
      <c r="AF17" s="192">
        <f>15000*AF10</f>
        <v>13783.783783783783</v>
      </c>
      <c r="AG17" s="185"/>
      <c r="AH17" s="185"/>
      <c r="AI17" s="186"/>
      <c r="AJ17" s="192">
        <v>0</v>
      </c>
      <c r="AK17" s="185"/>
      <c r="AL17" s="185"/>
      <c r="AM17" s="185"/>
      <c r="AN17" s="186"/>
      <c r="AO17" s="194">
        <v>0</v>
      </c>
      <c r="AP17" s="192">
        <v>0</v>
      </c>
      <c r="AQ17" s="185"/>
      <c r="AR17" s="185"/>
      <c r="AS17" s="186"/>
      <c r="AT17" s="192">
        <v>0</v>
      </c>
      <c r="AU17" s="185"/>
      <c r="AV17" s="185"/>
      <c r="AW17" s="185"/>
      <c r="AX17" s="186"/>
      <c r="AY17" s="194">
        <v>0</v>
      </c>
      <c r="AZ17" s="192">
        <v>0</v>
      </c>
      <c r="BA17" s="185"/>
      <c r="BB17" s="186"/>
      <c r="BC17" s="192">
        <v>0</v>
      </c>
      <c r="BD17" s="185"/>
      <c r="BE17" s="185"/>
      <c r="BF17" s="186"/>
      <c r="BG17" s="100"/>
      <c r="BH17" s="28">
        <f>SUM(E17:BF17)</f>
        <v>13783.783783783783</v>
      </c>
      <c r="BI17" s="29">
        <f t="shared" si="0"/>
        <v>3.8675952508360994E-3</v>
      </c>
      <c r="BJ17" s="100"/>
      <c r="BK17" s="100"/>
      <c r="BL17" s="111"/>
      <c r="BM17" s="111"/>
      <c r="BN17" s="100"/>
      <c r="BO17" s="192">
        <v>0</v>
      </c>
      <c r="BP17" s="185"/>
      <c r="BQ17" s="185"/>
      <c r="BR17" s="186"/>
      <c r="BS17" s="192">
        <v>0</v>
      </c>
      <c r="BT17" s="185"/>
      <c r="BU17" s="185"/>
      <c r="BV17" s="185"/>
      <c r="BW17" s="186"/>
      <c r="BX17" s="192">
        <v>0</v>
      </c>
      <c r="BY17" s="185"/>
      <c r="BZ17" s="185"/>
      <c r="CA17" s="185"/>
      <c r="CB17" s="186"/>
      <c r="CC17" s="192">
        <v>0</v>
      </c>
      <c r="CD17" s="185"/>
      <c r="CE17" s="185"/>
      <c r="CF17" s="185"/>
      <c r="CG17" s="186"/>
      <c r="CH17" s="192">
        <v>0</v>
      </c>
      <c r="CI17" s="185"/>
      <c r="CJ17" s="185"/>
      <c r="CK17" s="186"/>
      <c r="CL17" s="192">
        <v>0</v>
      </c>
      <c r="CM17" s="185"/>
      <c r="CN17" s="185"/>
      <c r="CO17" s="186"/>
      <c r="CP17" s="192">
        <v>10191</v>
      </c>
      <c r="CQ17" s="185"/>
      <c r="CR17" s="185"/>
      <c r="CS17" s="186"/>
      <c r="CT17" s="192">
        <v>0</v>
      </c>
      <c r="CU17" s="185"/>
      <c r="CV17" s="185"/>
      <c r="CW17" s="185"/>
      <c r="CX17" s="186"/>
      <c r="CY17" s="194">
        <v>0</v>
      </c>
      <c r="CZ17" s="192">
        <v>0</v>
      </c>
      <c r="DA17" s="185"/>
      <c r="DB17" s="185"/>
      <c r="DC17" s="186"/>
      <c r="DD17" s="192">
        <v>0</v>
      </c>
      <c r="DE17" s="185"/>
      <c r="DF17" s="185"/>
      <c r="DG17" s="185"/>
      <c r="DH17" s="186"/>
      <c r="DI17" s="194">
        <v>0</v>
      </c>
      <c r="DJ17" s="192">
        <v>0</v>
      </c>
      <c r="DK17" s="185"/>
      <c r="DL17" s="186"/>
      <c r="DM17" s="192">
        <v>0</v>
      </c>
      <c r="DN17" s="185"/>
      <c r="DO17" s="185"/>
      <c r="DP17" s="186"/>
      <c r="DQ17" s="100"/>
      <c r="DR17" s="100"/>
      <c r="DS17" s="100"/>
      <c r="DT17" s="27"/>
      <c r="DU17" s="28">
        <f>SUM(BO17:DP17)</f>
        <v>10191</v>
      </c>
      <c r="DV17" s="29">
        <f t="shared" si="1"/>
        <v>2.8594951734255206E-3</v>
      </c>
      <c r="DW17" s="107">
        <f>DU17-BH17</f>
        <v>-3592.7837837837833</v>
      </c>
      <c r="DX17" s="97"/>
      <c r="DY17" s="97"/>
      <c r="DZ17" s="97"/>
      <c r="EA17" s="97"/>
      <c r="EB17" s="97"/>
      <c r="EC17" s="97"/>
      <c r="ED17" s="97"/>
      <c r="EE17" s="97"/>
      <c r="EF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V17" s="97"/>
      <c r="EW17" s="97"/>
      <c r="EX17" s="97"/>
      <c r="EZ17" s="28">
        <v>113711.23999999999</v>
      </c>
      <c r="FA17" s="29">
        <v>2.9664394662667532E-2</v>
      </c>
      <c r="FB17" s="28">
        <v>-113711.23999999999</v>
      </c>
      <c r="FC17" s="30">
        <v>-1</v>
      </c>
      <c r="FD17" s="31"/>
      <c r="FE17" s="28">
        <v>90000</v>
      </c>
      <c r="FF17" s="31"/>
      <c r="FG17" s="31"/>
      <c r="FH17" s="31"/>
    </row>
    <row r="18" spans="1:167" ht="15" thickBot="1">
      <c r="A18" s="40"/>
      <c r="B18" s="40"/>
      <c r="C18" s="40"/>
      <c r="D18" s="41" t="s">
        <v>47</v>
      </c>
      <c r="E18" s="192">
        <v>0</v>
      </c>
      <c r="F18" s="185"/>
      <c r="G18" s="185"/>
      <c r="H18" s="186"/>
      <c r="I18" s="192">
        <v>0</v>
      </c>
      <c r="J18" s="185"/>
      <c r="K18" s="185"/>
      <c r="L18" s="185"/>
      <c r="M18" s="186"/>
      <c r="N18" s="192">
        <v>0</v>
      </c>
      <c r="O18" s="185"/>
      <c r="P18" s="185"/>
      <c r="Q18" s="185"/>
      <c r="R18" s="186"/>
      <c r="S18" s="192">
        <v>0</v>
      </c>
      <c r="T18" s="185"/>
      <c r="U18" s="185"/>
      <c r="V18" s="185"/>
      <c r="W18" s="186"/>
      <c r="X18" s="192">
        <v>0</v>
      </c>
      <c r="Y18" s="185"/>
      <c r="Z18" s="185"/>
      <c r="AA18" s="186"/>
      <c r="AB18" s="192">
        <v>0</v>
      </c>
      <c r="AC18" s="185"/>
      <c r="AD18" s="185"/>
      <c r="AE18" s="186"/>
      <c r="AF18" s="192">
        <v>0</v>
      </c>
      <c r="AG18" s="185"/>
      <c r="AH18" s="185"/>
      <c r="AI18" s="186"/>
      <c r="AJ18" s="192">
        <v>0</v>
      </c>
      <c r="AK18" s="185"/>
      <c r="AL18" s="185"/>
      <c r="AM18" s="185"/>
      <c r="AN18" s="186"/>
      <c r="AO18" s="194">
        <v>0</v>
      </c>
      <c r="AP18" s="192">
        <v>0</v>
      </c>
      <c r="AQ18" s="185"/>
      <c r="AR18" s="185"/>
      <c r="AS18" s="186"/>
      <c r="AT18" s="192">
        <v>0</v>
      </c>
      <c r="AU18" s="185"/>
      <c r="AV18" s="185"/>
      <c r="AW18" s="185"/>
      <c r="AX18" s="186"/>
      <c r="AY18" s="194">
        <v>0</v>
      </c>
      <c r="AZ18" s="192">
        <v>0</v>
      </c>
      <c r="BA18" s="185"/>
      <c r="BB18" s="186"/>
      <c r="BC18" s="192">
        <v>0</v>
      </c>
      <c r="BD18" s="185"/>
      <c r="BE18" s="185"/>
      <c r="BF18" s="186"/>
      <c r="BG18" s="100"/>
      <c r="BH18" s="28">
        <f>SUM(E18:BF18)</f>
        <v>0</v>
      </c>
      <c r="BI18" s="29">
        <f t="shared" si="0"/>
        <v>0</v>
      </c>
      <c r="BJ18" s="100"/>
      <c r="BK18" s="100"/>
      <c r="BL18" s="111"/>
      <c r="BM18" s="111"/>
      <c r="BN18" s="100"/>
      <c r="BO18" s="192">
        <v>0</v>
      </c>
      <c r="BP18" s="185"/>
      <c r="BQ18" s="185"/>
      <c r="BR18" s="186"/>
      <c r="BS18" s="192">
        <v>0</v>
      </c>
      <c r="BT18" s="185"/>
      <c r="BU18" s="185"/>
      <c r="BV18" s="185"/>
      <c r="BW18" s="186"/>
      <c r="BX18" s="192">
        <v>0</v>
      </c>
      <c r="BY18" s="185"/>
      <c r="BZ18" s="185"/>
      <c r="CA18" s="185"/>
      <c r="CB18" s="186"/>
      <c r="CC18" s="192">
        <v>0</v>
      </c>
      <c r="CD18" s="185"/>
      <c r="CE18" s="185"/>
      <c r="CF18" s="185"/>
      <c r="CG18" s="186"/>
      <c r="CH18" s="192">
        <v>0</v>
      </c>
      <c r="CI18" s="185"/>
      <c r="CJ18" s="185"/>
      <c r="CK18" s="186"/>
      <c r="CL18" s="192">
        <v>0</v>
      </c>
      <c r="CM18" s="185"/>
      <c r="CN18" s="185"/>
      <c r="CO18" s="186"/>
      <c r="CP18" s="192">
        <v>0</v>
      </c>
      <c r="CQ18" s="185"/>
      <c r="CR18" s="185"/>
      <c r="CS18" s="186"/>
      <c r="CT18" s="192">
        <v>0</v>
      </c>
      <c r="CU18" s="185"/>
      <c r="CV18" s="185"/>
      <c r="CW18" s="185"/>
      <c r="CX18" s="186"/>
      <c r="CY18" s="194">
        <v>0</v>
      </c>
      <c r="CZ18" s="192">
        <v>0</v>
      </c>
      <c r="DA18" s="185"/>
      <c r="DB18" s="185"/>
      <c r="DC18" s="186"/>
      <c r="DD18" s="192">
        <v>0</v>
      </c>
      <c r="DE18" s="185"/>
      <c r="DF18" s="185"/>
      <c r="DG18" s="185"/>
      <c r="DH18" s="186"/>
      <c r="DI18" s="194">
        <v>0</v>
      </c>
      <c r="DJ18" s="192">
        <v>0</v>
      </c>
      <c r="DK18" s="185"/>
      <c r="DL18" s="186"/>
      <c r="DM18" s="192">
        <v>0</v>
      </c>
      <c r="DN18" s="185"/>
      <c r="DO18" s="185"/>
      <c r="DP18" s="186"/>
      <c r="DQ18" s="100"/>
      <c r="DR18" s="100"/>
      <c r="DS18" s="100"/>
      <c r="DT18" s="27"/>
      <c r="DU18" s="28">
        <f t="shared" si="3"/>
        <v>0</v>
      </c>
      <c r="DV18" s="29">
        <f t="shared" si="1"/>
        <v>0</v>
      </c>
      <c r="DW18" s="107">
        <f>DU18-BH18</f>
        <v>0</v>
      </c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Z18" s="28">
        <v>0</v>
      </c>
      <c r="FA18" s="29">
        <v>0</v>
      </c>
      <c r="FB18" s="28">
        <v>0</v>
      </c>
      <c r="FC18" s="30" t="e">
        <v>#DIV/0!</v>
      </c>
      <c r="FD18" s="31"/>
      <c r="FE18" s="28">
        <v>330000</v>
      </c>
      <c r="FF18" s="31"/>
      <c r="FG18" s="31"/>
      <c r="FH18" s="31"/>
    </row>
    <row r="19" spans="1:167" ht="32.25" customHeight="1" thickBot="1">
      <c r="A19" s="42"/>
      <c r="B19" s="42"/>
      <c r="C19" s="42"/>
      <c r="D19" s="43" t="s">
        <v>48</v>
      </c>
      <c r="E19" s="200">
        <f>E11+E14+E17+E18</f>
        <v>0</v>
      </c>
      <c r="F19" s="185"/>
      <c r="G19" s="185"/>
      <c r="H19" s="186"/>
      <c r="I19" s="201">
        <f>I11+I14+I18+I17</f>
        <v>0</v>
      </c>
      <c r="J19" s="185"/>
      <c r="K19" s="185"/>
      <c r="L19" s="185"/>
      <c r="M19" s="186"/>
      <c r="N19" s="201">
        <f>N11+N14+N18+N17</f>
        <v>0</v>
      </c>
      <c r="O19" s="185"/>
      <c r="P19" s="185"/>
      <c r="Q19" s="185"/>
      <c r="R19" s="186"/>
      <c r="S19" s="201">
        <f>S11+S14+S17+S18</f>
        <v>174594.59459459459</v>
      </c>
      <c r="T19" s="185"/>
      <c r="U19" s="185"/>
      <c r="V19" s="185"/>
      <c r="W19" s="186"/>
      <c r="X19" s="201">
        <f>X11+X14+X17+X18</f>
        <v>287379.24756756763</v>
      </c>
      <c r="Y19" s="185"/>
      <c r="Z19" s="185"/>
      <c r="AA19" s="186"/>
      <c r="AB19" s="201">
        <f>AB11+AB14+AB17+AB18</f>
        <v>502215.83783783781</v>
      </c>
      <c r="AC19" s="185"/>
      <c r="AD19" s="185"/>
      <c r="AE19" s="186"/>
      <c r="AF19" s="201">
        <f>AF11+AF14+AF17+AF18</f>
        <v>405616.32432432426</v>
      </c>
      <c r="AG19" s="185"/>
      <c r="AH19" s="185"/>
      <c r="AI19" s="186"/>
      <c r="AJ19" s="201">
        <f>AJ11+AJ14+AJ17+AJ18</f>
        <v>155756.75675675675</v>
      </c>
      <c r="AK19" s="185"/>
      <c r="AL19" s="185"/>
      <c r="AM19" s="185"/>
      <c r="AN19" s="186"/>
      <c r="AO19" s="44">
        <f>AO11+AO14+AO17+AO18</f>
        <v>93729.729729729734</v>
      </c>
      <c r="AP19" s="201">
        <f>AP11+AP14+AP17+AP18</f>
        <v>193708.10810810811</v>
      </c>
      <c r="AQ19" s="185"/>
      <c r="AR19" s="185"/>
      <c r="AS19" s="186"/>
      <c r="AT19" s="201">
        <f>AT11+AT14+AT17+AT18</f>
        <v>104664.86486486488</v>
      </c>
      <c r="AU19" s="185"/>
      <c r="AV19" s="185"/>
      <c r="AW19" s="185"/>
      <c r="AX19" s="186"/>
      <c r="AY19" s="44">
        <f>AY11+AY14+AY17+AY18</f>
        <v>0</v>
      </c>
      <c r="AZ19" s="201">
        <f>AZ11+AZ14+AZ17+AZ18</f>
        <v>286656.7567567568</v>
      </c>
      <c r="BA19" s="185"/>
      <c r="BB19" s="186"/>
      <c r="BC19" s="201">
        <f>BC11+BC14+BC17+BC18</f>
        <v>0</v>
      </c>
      <c r="BD19" s="185"/>
      <c r="BE19" s="185"/>
      <c r="BF19" s="186"/>
      <c r="BG19" s="100"/>
      <c r="BH19" s="28">
        <f>BH11+BH14+BH17+BH18</f>
        <v>2204322.2205405403</v>
      </c>
      <c r="BI19" s="29">
        <f t="shared" si="0"/>
        <v>0.61851130902858409</v>
      </c>
      <c r="BJ19" s="100"/>
      <c r="BK19" s="100"/>
      <c r="BL19" s="111"/>
      <c r="BM19" s="111"/>
      <c r="BN19" s="100"/>
      <c r="BO19" s="200">
        <f>BO11+BO14+BO17+BO18</f>
        <v>0</v>
      </c>
      <c r="BP19" s="185"/>
      <c r="BQ19" s="185"/>
      <c r="BR19" s="186"/>
      <c r="BS19" s="201">
        <f>BS11+BS14+BS18+BS17</f>
        <v>0</v>
      </c>
      <c r="BT19" s="185"/>
      <c r="BU19" s="185"/>
      <c r="BV19" s="185"/>
      <c r="BW19" s="186"/>
      <c r="BX19" s="201">
        <f>BX11+BX14+BX18+BX17</f>
        <v>0</v>
      </c>
      <c r="BY19" s="185"/>
      <c r="BZ19" s="185"/>
      <c r="CA19" s="185"/>
      <c r="CB19" s="186"/>
      <c r="CC19" s="201">
        <f>CC11+CC14+CC17+CC18</f>
        <v>136924.23000000001</v>
      </c>
      <c r="CD19" s="185"/>
      <c r="CE19" s="185"/>
      <c r="CF19" s="185"/>
      <c r="CG19" s="186"/>
      <c r="CH19" s="201">
        <f>CH11+CH14+CH17+CH18</f>
        <v>360227.94</v>
      </c>
      <c r="CI19" s="185"/>
      <c r="CJ19" s="185"/>
      <c r="CK19" s="186"/>
      <c r="CL19" s="201">
        <f>CL11+CL14+CL17+CL18</f>
        <v>485753.99</v>
      </c>
      <c r="CM19" s="185"/>
      <c r="CN19" s="185"/>
      <c r="CO19" s="186"/>
      <c r="CP19" s="201">
        <f>CP11+CP14+CP17+CP18</f>
        <v>391818.49</v>
      </c>
      <c r="CQ19" s="185"/>
      <c r="CR19" s="185"/>
      <c r="CS19" s="186"/>
      <c r="CT19" s="201">
        <f>CT11+CT14+CT17+CT18</f>
        <v>191181.87</v>
      </c>
      <c r="CU19" s="185"/>
      <c r="CV19" s="185"/>
      <c r="CW19" s="185"/>
      <c r="CX19" s="186"/>
      <c r="CY19" s="44">
        <f>CY11+CY14+CY17+CY18</f>
        <v>84742.007999999987</v>
      </c>
      <c r="CZ19" s="201">
        <f>CZ11+CZ14+CZ17+CZ18</f>
        <v>178642.31200000001</v>
      </c>
      <c r="DA19" s="185"/>
      <c r="DB19" s="185"/>
      <c r="DC19" s="186"/>
      <c r="DD19" s="201">
        <f>DD11+DD14+DD17+DD18</f>
        <v>188490.37</v>
      </c>
      <c r="DE19" s="185"/>
      <c r="DF19" s="185"/>
      <c r="DG19" s="185"/>
      <c r="DH19" s="186"/>
      <c r="DI19" s="44">
        <f>DI11+DI14+DI17+DI18</f>
        <v>0</v>
      </c>
      <c r="DJ19" s="201">
        <f>DJ11+DJ14+DJ17+DJ18</f>
        <v>211480.27</v>
      </c>
      <c r="DK19" s="185"/>
      <c r="DL19" s="186"/>
      <c r="DM19" s="201">
        <f>DM11+DM14+DM17+DM18</f>
        <v>0</v>
      </c>
      <c r="DN19" s="185"/>
      <c r="DO19" s="185"/>
      <c r="DP19" s="186"/>
      <c r="DQ19" s="100"/>
      <c r="DR19" s="100"/>
      <c r="DS19" s="100"/>
      <c r="DT19" s="27"/>
      <c r="DU19" s="28">
        <f>DU11+DU14+DU17+DU18</f>
        <v>2229261.4799999995</v>
      </c>
      <c r="DV19" s="29">
        <f t="shared" si="1"/>
        <v>0.62550902191771474</v>
      </c>
      <c r="DW19" s="108">
        <f>DU19-BH19</f>
        <v>24939.259459459223</v>
      </c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Z19" s="28">
        <v>2526528.0999999996</v>
      </c>
      <c r="FA19" s="29">
        <v>0.6591074610101828</v>
      </c>
      <c r="FB19" s="28">
        <v>-160528.09999999963</v>
      </c>
      <c r="FC19" s="30">
        <v>-6.3537033290862535E-2</v>
      </c>
      <c r="FD19" s="31"/>
      <c r="FE19" s="28">
        <v>2510000</v>
      </c>
      <c r="FF19" s="31"/>
      <c r="FG19" s="31"/>
      <c r="FH19" s="31"/>
      <c r="FK19" s="79" t="e">
        <f>#REF!*FI19</f>
        <v>#REF!</v>
      </c>
    </row>
    <row r="20" spans="1:167" ht="35.25" customHeight="1" thickBot="1">
      <c r="A20" s="45"/>
      <c r="B20" s="45"/>
      <c r="C20" s="45"/>
      <c r="D20" s="4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77"/>
      <c r="AP20" s="167"/>
      <c r="AQ20" s="167"/>
      <c r="AR20" s="167"/>
      <c r="AS20" s="167"/>
      <c r="AT20" s="167"/>
      <c r="AU20" s="167"/>
      <c r="AV20" s="167"/>
      <c r="AW20" s="167"/>
      <c r="AX20" s="167"/>
      <c r="AY20" s="77"/>
      <c r="AZ20" s="167"/>
      <c r="BA20" s="167"/>
      <c r="BB20" s="167"/>
      <c r="BC20" s="167"/>
      <c r="BD20" s="167"/>
      <c r="BE20" s="167"/>
      <c r="BF20" s="167"/>
      <c r="BG20" s="77"/>
      <c r="BH20" s="27"/>
      <c r="BI20" s="27"/>
      <c r="BJ20" s="77"/>
      <c r="BK20" s="77"/>
      <c r="BL20" s="115"/>
      <c r="BM20" s="115"/>
      <c r="BN20" s="7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77"/>
      <c r="CZ20" s="167"/>
      <c r="DA20" s="167"/>
      <c r="DB20" s="167"/>
      <c r="DC20" s="167"/>
      <c r="DD20" s="167"/>
      <c r="DE20" s="167"/>
      <c r="DF20" s="167"/>
      <c r="DG20" s="167"/>
      <c r="DH20" s="167"/>
      <c r="DI20" s="77"/>
      <c r="DJ20" s="167"/>
      <c r="DK20" s="167"/>
      <c r="DL20" s="167"/>
      <c r="DM20" s="167"/>
      <c r="DN20" s="167"/>
      <c r="DO20" s="167"/>
      <c r="DP20" s="167"/>
      <c r="DQ20" s="77"/>
      <c r="DR20" s="77"/>
      <c r="DS20" s="7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</row>
    <row r="21" spans="1:167" ht="18">
      <c r="A21" s="46"/>
      <c r="B21" s="46"/>
      <c r="C21" s="46"/>
      <c r="D21" s="184" t="s">
        <v>49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8"/>
      <c r="BH21" s="12"/>
      <c r="BI21" s="12"/>
      <c r="BJ21" s="18"/>
      <c r="BK21" s="18"/>
      <c r="BL21" s="113"/>
      <c r="BM21" s="113"/>
      <c r="BN21" s="18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20"/>
      <c r="DQ21" s="18"/>
      <c r="DR21" s="18"/>
      <c r="DS21" s="18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</row>
    <row r="22" spans="1:167" ht="18.95" thickBot="1">
      <c r="A22" s="46"/>
      <c r="B22" s="46"/>
      <c r="C22" s="46"/>
      <c r="D22" s="191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8"/>
      <c r="BH22" s="12"/>
      <c r="BI22" s="12"/>
      <c r="BJ22" s="18"/>
      <c r="BK22" s="18"/>
      <c r="BL22" s="113"/>
      <c r="BM22" s="113"/>
      <c r="BN22" s="18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4"/>
      <c r="DQ22" s="18"/>
      <c r="DR22" s="18"/>
      <c r="DS22" s="18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</row>
    <row r="23" spans="1:167" ht="15" thickBot="1">
      <c r="A23" s="47"/>
      <c r="B23" s="47"/>
      <c r="C23" s="47"/>
      <c r="D23" s="26" t="s">
        <v>50</v>
      </c>
      <c r="E23" s="192">
        <f>E10*8700</f>
        <v>7994.5945945945941</v>
      </c>
      <c r="F23" s="185"/>
      <c r="G23" s="185"/>
      <c r="H23" s="186"/>
      <c r="I23" s="192">
        <v>0</v>
      </c>
      <c r="J23" s="185"/>
      <c r="K23" s="185"/>
      <c r="L23" s="185"/>
      <c r="M23" s="186"/>
      <c r="N23" s="192">
        <f>16000*N10</f>
        <v>14702.702702702702</v>
      </c>
      <c r="O23" s="185"/>
      <c r="P23" s="185"/>
      <c r="Q23" s="185"/>
      <c r="R23" s="186"/>
      <c r="S23" s="192">
        <v>0</v>
      </c>
      <c r="T23" s="185"/>
      <c r="U23" s="185"/>
      <c r="V23" s="185"/>
      <c r="W23" s="186"/>
      <c r="X23" s="192">
        <v>0</v>
      </c>
      <c r="Y23" s="185"/>
      <c r="Z23" s="185"/>
      <c r="AA23" s="186"/>
      <c r="AB23" s="192">
        <f>43500*AB10</f>
        <v>39972.972972972973</v>
      </c>
      <c r="AC23" s="185"/>
      <c r="AD23" s="185"/>
      <c r="AE23" s="186"/>
      <c r="AF23" s="192">
        <f>43500*AJ10</f>
        <v>39972.972972972973</v>
      </c>
      <c r="AG23" s="185"/>
      <c r="AH23" s="185"/>
      <c r="AI23" s="186"/>
      <c r="AJ23" s="192">
        <v>0</v>
      </c>
      <c r="AK23" s="185"/>
      <c r="AL23" s="185"/>
      <c r="AM23" s="185"/>
      <c r="AN23" s="186"/>
      <c r="AO23" s="194">
        <v>0</v>
      </c>
      <c r="AP23" s="192">
        <f>AP10*43500</f>
        <v>39972.972972972973</v>
      </c>
      <c r="AQ23" s="185"/>
      <c r="AR23" s="185"/>
      <c r="AS23" s="186"/>
      <c r="AT23" s="192">
        <v>0</v>
      </c>
      <c r="AU23" s="185"/>
      <c r="AV23" s="185"/>
      <c r="AW23" s="185"/>
      <c r="AX23" s="186"/>
      <c r="AY23" s="194">
        <v>0</v>
      </c>
      <c r="AZ23" s="192">
        <v>0</v>
      </c>
      <c r="BA23" s="185"/>
      <c r="BB23" s="186"/>
      <c r="BC23" s="192">
        <v>0</v>
      </c>
      <c r="BD23" s="185"/>
      <c r="BE23" s="185"/>
      <c r="BF23" s="186"/>
      <c r="BG23" s="100"/>
      <c r="BH23" s="28">
        <f t="shared" ref="BH23:BH35" si="7">SUM(E23:BF23)</f>
        <v>142616.21621621621</v>
      </c>
      <c r="BI23" s="29">
        <f>BH23/$DU$38</f>
        <v>4.0016718861984171E-2</v>
      </c>
      <c r="BJ23" s="100"/>
      <c r="BK23" s="100"/>
      <c r="BL23" s="111"/>
      <c r="BM23" s="111"/>
      <c r="BN23" s="100"/>
      <c r="BO23" s="192">
        <v>7350</v>
      </c>
      <c r="BP23" s="185"/>
      <c r="BQ23" s="185"/>
      <c r="BR23" s="186"/>
      <c r="BS23" s="192">
        <v>6999.82</v>
      </c>
      <c r="BT23" s="185"/>
      <c r="BU23" s="185"/>
      <c r="BV23" s="185"/>
      <c r="BW23" s="186"/>
      <c r="BX23" s="192">
        <v>12850</v>
      </c>
      <c r="BY23" s="185"/>
      <c r="BZ23" s="185"/>
      <c r="CA23" s="185"/>
      <c r="CB23" s="186"/>
      <c r="CC23" s="192">
        <v>0</v>
      </c>
      <c r="CD23" s="185"/>
      <c r="CE23" s="185"/>
      <c r="CF23" s="185"/>
      <c r="CG23" s="186"/>
      <c r="CH23" s="192">
        <v>0</v>
      </c>
      <c r="CI23" s="185"/>
      <c r="CJ23" s="185"/>
      <c r="CK23" s="186"/>
      <c r="CL23" s="192">
        <v>18068.689999999999</v>
      </c>
      <c r="CM23" s="185"/>
      <c r="CN23" s="185"/>
      <c r="CO23" s="186"/>
      <c r="CP23" s="192">
        <v>26385.119999999999</v>
      </c>
      <c r="CQ23" s="185"/>
      <c r="CR23" s="185"/>
      <c r="CS23" s="186"/>
      <c r="CT23" s="192">
        <v>29864.16</v>
      </c>
      <c r="CU23" s="185"/>
      <c r="CV23" s="185"/>
      <c r="CW23" s="185"/>
      <c r="CX23" s="186"/>
      <c r="CY23" s="194">
        <v>0</v>
      </c>
      <c r="CZ23" s="192">
        <v>48743.41</v>
      </c>
      <c r="DA23" s="185"/>
      <c r="DB23" s="185"/>
      <c r="DC23" s="186"/>
      <c r="DD23" s="192">
        <v>0</v>
      </c>
      <c r="DE23" s="185"/>
      <c r="DF23" s="185"/>
      <c r="DG23" s="185"/>
      <c r="DH23" s="186"/>
      <c r="DI23" s="194">
        <v>0</v>
      </c>
      <c r="DJ23" s="192">
        <v>0</v>
      </c>
      <c r="DK23" s="185"/>
      <c r="DL23" s="186"/>
      <c r="DM23" s="192">
        <v>0</v>
      </c>
      <c r="DN23" s="185"/>
      <c r="DO23" s="185"/>
      <c r="DP23" s="186"/>
      <c r="DQ23" s="100"/>
      <c r="DR23" s="100"/>
      <c r="DS23" s="100"/>
      <c r="DT23" s="27"/>
      <c r="DU23" s="28">
        <f>SUM(BO23:DP23)</f>
        <v>150261.20000000001</v>
      </c>
      <c r="DV23" s="29">
        <f>DU23/$DU$38</f>
        <v>4.2161826724867714E-2</v>
      </c>
      <c r="DW23" s="107">
        <f>DU23-BH23</f>
        <v>7644.9837837837986</v>
      </c>
      <c r="DX23" s="97"/>
      <c r="DY23" s="97"/>
      <c r="DZ23" s="97"/>
      <c r="EA23" s="97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7"/>
      <c r="ES23" s="97"/>
      <c r="ET23" s="97"/>
      <c r="EU23" s="97"/>
      <c r="EV23" s="97"/>
      <c r="EW23" s="97"/>
      <c r="EX23" s="97"/>
      <c r="EZ23" s="28">
        <v>146124.1</v>
      </c>
      <c r="FA23" s="29">
        <v>3.8120092368415799E-2</v>
      </c>
      <c r="FB23" s="28">
        <v>9075.8999999999942</v>
      </c>
      <c r="FC23" s="30">
        <v>6.2110904361429728E-2</v>
      </c>
      <c r="FD23" s="31"/>
      <c r="FE23" s="28">
        <v>135000</v>
      </c>
      <c r="FF23" s="31"/>
      <c r="FG23" s="31"/>
      <c r="FH23" s="31"/>
    </row>
    <row r="24" spans="1:167" ht="15" thickBot="1">
      <c r="A24" s="49"/>
      <c r="B24" s="49"/>
      <c r="C24" s="49"/>
      <c r="D24" s="26" t="s">
        <v>51</v>
      </c>
      <c r="E24" s="192">
        <v>0</v>
      </c>
      <c r="F24" s="185"/>
      <c r="G24" s="185"/>
      <c r="H24" s="186"/>
      <c r="I24" s="192">
        <v>0</v>
      </c>
      <c r="J24" s="185"/>
      <c r="K24" s="185"/>
      <c r="L24" s="185"/>
      <c r="M24" s="186"/>
      <c r="N24" s="192">
        <v>0</v>
      </c>
      <c r="O24" s="185"/>
      <c r="P24" s="185"/>
      <c r="Q24" s="185"/>
      <c r="R24" s="186"/>
      <c r="S24" s="192">
        <v>0</v>
      </c>
      <c r="T24" s="185"/>
      <c r="U24" s="185"/>
      <c r="V24" s="185"/>
      <c r="W24" s="186"/>
      <c r="X24" s="192">
        <v>0</v>
      </c>
      <c r="Y24" s="185"/>
      <c r="Z24" s="185"/>
      <c r="AA24" s="186"/>
      <c r="AB24" s="192">
        <v>0</v>
      </c>
      <c r="AC24" s="185"/>
      <c r="AD24" s="185"/>
      <c r="AE24" s="186"/>
      <c r="AF24" s="192">
        <v>0</v>
      </c>
      <c r="AG24" s="185"/>
      <c r="AH24" s="185"/>
      <c r="AI24" s="186"/>
      <c r="AJ24" s="192">
        <v>0</v>
      </c>
      <c r="AK24" s="185"/>
      <c r="AL24" s="185"/>
      <c r="AM24" s="185"/>
      <c r="AN24" s="186"/>
      <c r="AO24" s="194">
        <v>0</v>
      </c>
      <c r="AP24" s="192">
        <v>0</v>
      </c>
      <c r="AQ24" s="185"/>
      <c r="AR24" s="185"/>
      <c r="AS24" s="186"/>
      <c r="AT24" s="192">
        <v>0</v>
      </c>
      <c r="AU24" s="185"/>
      <c r="AV24" s="185"/>
      <c r="AW24" s="185"/>
      <c r="AX24" s="186"/>
      <c r="AY24" s="194">
        <v>0</v>
      </c>
      <c r="AZ24" s="192">
        <v>0</v>
      </c>
      <c r="BA24" s="185"/>
      <c r="BB24" s="186"/>
      <c r="BC24" s="192">
        <v>0</v>
      </c>
      <c r="BD24" s="185"/>
      <c r="BE24" s="185"/>
      <c r="BF24" s="186"/>
      <c r="BG24" s="100"/>
      <c r="BH24" s="28">
        <f t="shared" si="7"/>
        <v>0</v>
      </c>
      <c r="BI24" s="29">
        <f>BH24/$DU$38</f>
        <v>0</v>
      </c>
      <c r="BJ24" s="100"/>
      <c r="BK24" s="100"/>
      <c r="BL24" s="111"/>
      <c r="BM24" s="111"/>
      <c r="BN24" s="100"/>
      <c r="BO24" s="192">
        <v>0</v>
      </c>
      <c r="BP24" s="185"/>
      <c r="BQ24" s="185"/>
      <c r="BR24" s="186"/>
      <c r="BS24" s="192">
        <v>0</v>
      </c>
      <c r="BT24" s="185"/>
      <c r="BU24" s="185"/>
      <c r="BV24" s="185"/>
      <c r="BW24" s="186"/>
      <c r="BX24" s="192">
        <v>0</v>
      </c>
      <c r="BY24" s="185"/>
      <c r="BZ24" s="185"/>
      <c r="CA24" s="185"/>
      <c r="CB24" s="186"/>
      <c r="CC24" s="192">
        <v>0</v>
      </c>
      <c r="CD24" s="185"/>
      <c r="CE24" s="185"/>
      <c r="CF24" s="185"/>
      <c r="CG24" s="186"/>
      <c r="CH24" s="192">
        <v>0</v>
      </c>
      <c r="CI24" s="185"/>
      <c r="CJ24" s="185"/>
      <c r="CK24" s="186"/>
      <c r="CL24" s="192">
        <v>0</v>
      </c>
      <c r="CM24" s="185"/>
      <c r="CN24" s="185"/>
      <c r="CO24" s="186"/>
      <c r="CP24" s="192">
        <v>0</v>
      </c>
      <c r="CQ24" s="185"/>
      <c r="CR24" s="185"/>
      <c r="CS24" s="186"/>
      <c r="CT24" s="192">
        <v>0</v>
      </c>
      <c r="CU24" s="185"/>
      <c r="CV24" s="185"/>
      <c r="CW24" s="185"/>
      <c r="CX24" s="186"/>
      <c r="CY24" s="194">
        <v>0</v>
      </c>
      <c r="CZ24" s="192">
        <v>0</v>
      </c>
      <c r="DA24" s="185"/>
      <c r="DB24" s="185"/>
      <c r="DC24" s="186"/>
      <c r="DD24" s="192">
        <v>0</v>
      </c>
      <c r="DE24" s="185"/>
      <c r="DF24" s="185"/>
      <c r="DG24" s="185"/>
      <c r="DH24" s="186"/>
      <c r="DI24" s="194">
        <v>0</v>
      </c>
      <c r="DJ24" s="192">
        <v>0</v>
      </c>
      <c r="DK24" s="185"/>
      <c r="DL24" s="186"/>
      <c r="DM24" s="192">
        <v>0</v>
      </c>
      <c r="DN24" s="185"/>
      <c r="DO24" s="185"/>
      <c r="DP24" s="186"/>
      <c r="DQ24" s="100"/>
      <c r="DR24" s="100"/>
      <c r="DS24" s="100"/>
      <c r="DT24" s="27"/>
      <c r="DU24" s="28">
        <f>SUM(BO24:DP24)</f>
        <v>0</v>
      </c>
      <c r="DV24" s="29">
        <f>DU24/$DU$38</f>
        <v>0</v>
      </c>
      <c r="DW24" s="107">
        <f>DU24-BH24</f>
        <v>0</v>
      </c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Z24" s="28">
        <v>34708</v>
      </c>
      <c r="FA24" s="29">
        <v>9.0544418471899951E-3</v>
      </c>
      <c r="FB24" s="28">
        <v>-34708</v>
      </c>
      <c r="FC24" s="30"/>
      <c r="FD24" s="31"/>
      <c r="FE24" s="28">
        <v>80000</v>
      </c>
      <c r="FF24" s="31"/>
      <c r="FG24" s="31"/>
      <c r="FH24" s="31"/>
    </row>
    <row r="25" spans="1:167" ht="15" thickBot="1">
      <c r="A25" s="25" t="s">
        <v>41</v>
      </c>
      <c r="B25" s="47"/>
      <c r="C25" s="47"/>
      <c r="D25" s="26" t="s">
        <v>52</v>
      </c>
      <c r="E25" s="192">
        <f>35000*E10</f>
        <v>32162.16216216216</v>
      </c>
      <c r="F25" s="185"/>
      <c r="G25" s="185"/>
      <c r="H25" s="186"/>
      <c r="I25" s="202">
        <f>25000*I10</f>
        <v>22972.97297297297</v>
      </c>
      <c r="J25" s="185"/>
      <c r="K25" s="185"/>
      <c r="L25" s="185"/>
      <c r="M25" s="186"/>
      <c r="N25" s="192">
        <f>40000*N10</f>
        <v>36756.756756756753</v>
      </c>
      <c r="O25" s="185"/>
      <c r="P25" s="185"/>
      <c r="Q25" s="185"/>
      <c r="R25" s="186"/>
      <c r="S25" s="192">
        <f>50000*S10</f>
        <v>45945.945945945939</v>
      </c>
      <c r="T25" s="185"/>
      <c r="U25" s="185"/>
      <c r="V25" s="185"/>
      <c r="W25" s="186"/>
      <c r="X25" s="192">
        <f>X10*50000</f>
        <v>45945.945945945947</v>
      </c>
      <c r="Y25" s="185"/>
      <c r="Z25" s="185"/>
      <c r="AA25" s="186"/>
      <c r="AB25" s="192">
        <f>65000*AB10</f>
        <v>59729.729729729726</v>
      </c>
      <c r="AC25" s="185"/>
      <c r="AD25" s="185"/>
      <c r="AE25" s="186"/>
      <c r="AF25" s="192">
        <f>65000*AF10</f>
        <v>59729.729729729726</v>
      </c>
      <c r="AG25" s="185"/>
      <c r="AH25" s="185"/>
      <c r="AI25" s="186"/>
      <c r="AJ25" s="192">
        <f>50000*AJ10</f>
        <v>45945.945945945939</v>
      </c>
      <c r="AK25" s="185"/>
      <c r="AL25" s="185"/>
      <c r="AM25" s="185"/>
      <c r="AN25" s="186"/>
      <c r="AO25" s="194">
        <f>7000*AO10</f>
        <v>6432.4324324324325</v>
      </c>
      <c r="AP25" s="192">
        <f>50000*AP10</f>
        <v>45945.945945945947</v>
      </c>
      <c r="AQ25" s="185"/>
      <c r="AR25" s="185"/>
      <c r="AS25" s="186"/>
      <c r="AT25" s="192">
        <f>40000*AT10</f>
        <v>36756.75675675676</v>
      </c>
      <c r="AU25" s="185"/>
      <c r="AV25" s="185"/>
      <c r="AW25" s="185"/>
      <c r="AX25" s="186"/>
      <c r="AY25" s="194">
        <f>2000*AY10</f>
        <v>1837.8378378378379</v>
      </c>
      <c r="AZ25" s="192">
        <f>30000*AZ10</f>
        <v>27567.56756756757</v>
      </c>
      <c r="BA25" s="185"/>
      <c r="BB25" s="186"/>
      <c r="BC25" s="192">
        <f>40000*BC10</f>
        <v>36756.75675675676</v>
      </c>
      <c r="BD25" s="185"/>
      <c r="BE25" s="185"/>
      <c r="BF25" s="186"/>
      <c r="BG25" s="100"/>
      <c r="BH25" s="28">
        <f t="shared" si="7"/>
        <v>504486.48648648645</v>
      </c>
      <c r="BI25" s="29">
        <f>BH25/$DU$38</f>
        <v>0.14155398618060122</v>
      </c>
      <c r="BJ25" s="100"/>
      <c r="BK25" s="100"/>
      <c r="BL25" s="111"/>
      <c r="BM25" s="111"/>
      <c r="BN25" s="100"/>
      <c r="BO25" s="192">
        <v>12178.29</v>
      </c>
      <c r="BP25" s="185"/>
      <c r="BQ25" s="185"/>
      <c r="BR25" s="186"/>
      <c r="BS25" s="202">
        <v>18646.7</v>
      </c>
      <c r="BT25" s="185"/>
      <c r="BU25" s="185"/>
      <c r="BV25" s="185"/>
      <c r="BW25" s="186"/>
      <c r="BX25" s="192">
        <v>40386</v>
      </c>
      <c r="BY25" s="185"/>
      <c r="BZ25" s="185"/>
      <c r="CA25" s="185"/>
      <c r="CB25" s="186"/>
      <c r="CC25" s="192">
        <v>43646.38</v>
      </c>
      <c r="CD25" s="185"/>
      <c r="CE25" s="185"/>
      <c r="CF25" s="185"/>
      <c r="CG25" s="186"/>
      <c r="CH25" s="192">
        <f>66599.73-CH29</f>
        <v>56310.28</v>
      </c>
      <c r="CI25" s="185"/>
      <c r="CJ25" s="185"/>
      <c r="CK25" s="186"/>
      <c r="CL25" s="192">
        <f>77620.28-CL29</f>
        <v>57519.19</v>
      </c>
      <c r="CM25" s="185"/>
      <c r="CN25" s="185"/>
      <c r="CO25" s="186"/>
      <c r="CP25" s="192">
        <f>75292.09-CP29</f>
        <v>57205.279999999999</v>
      </c>
      <c r="CQ25" s="185"/>
      <c r="CR25" s="185"/>
      <c r="CS25" s="186"/>
      <c r="CT25" s="192">
        <f>59186.49-CT29</f>
        <v>39606.07</v>
      </c>
      <c r="CU25" s="185"/>
      <c r="CV25" s="185"/>
      <c r="CW25" s="185"/>
      <c r="CX25" s="186"/>
      <c r="CY25" s="194">
        <f>62433.08*(1/3)-CY29</f>
        <v>20811.026666666665</v>
      </c>
      <c r="CZ25" s="192">
        <f>62433.08*(2/3)-CZ29</f>
        <v>26093.703333333331</v>
      </c>
      <c r="DA25" s="185"/>
      <c r="DB25" s="185"/>
      <c r="DC25" s="186"/>
      <c r="DD25" s="192">
        <f>49029.96-DD29</f>
        <v>43058.47</v>
      </c>
      <c r="DE25" s="185"/>
      <c r="DF25" s="185"/>
      <c r="DG25" s="185"/>
      <c r="DH25" s="186"/>
      <c r="DI25" s="194">
        <v>0</v>
      </c>
      <c r="DJ25" s="192">
        <f>29623.47-DJ29</f>
        <v>25909.43</v>
      </c>
      <c r="DK25" s="185"/>
      <c r="DL25" s="186"/>
      <c r="DM25" s="192">
        <f>8915.26-DM29</f>
        <v>4939.2800000000007</v>
      </c>
      <c r="DN25" s="185"/>
      <c r="DO25" s="185"/>
      <c r="DP25" s="186"/>
      <c r="DQ25" s="100"/>
      <c r="DR25" s="100"/>
      <c r="DS25" s="100"/>
      <c r="DT25" s="27"/>
      <c r="DU25" s="28">
        <f>SUM(BO25:DP25)</f>
        <v>446310.10000000003</v>
      </c>
      <c r="DV25" s="29">
        <f>DU25/$DU$38</f>
        <v>0.12523025971946439</v>
      </c>
      <c r="DW25" s="107">
        <f>DU25-BH25</f>
        <v>-58176.386486486415</v>
      </c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Z25" s="28">
        <v>538939.75</v>
      </c>
      <c r="FA25" s="29">
        <v>0.14059578844975551</v>
      </c>
      <c r="FB25" s="28">
        <v>10060.25</v>
      </c>
      <c r="FC25" s="30">
        <v>1.8666743360459124E-2</v>
      </c>
      <c r="FD25" s="31"/>
      <c r="FE25" s="28">
        <v>475000</v>
      </c>
      <c r="FF25" s="31"/>
      <c r="FG25" s="31"/>
      <c r="FH25" s="31"/>
    </row>
    <row r="26" spans="1:167" ht="14.1" thickBot="1">
      <c r="A26" s="32" t="s">
        <v>53</v>
      </c>
      <c r="B26" s="32">
        <v>0.5</v>
      </c>
      <c r="C26" s="50"/>
      <c r="D26" s="51" t="s">
        <v>54</v>
      </c>
      <c r="E26" s="162">
        <f>0.65*E25</f>
        <v>20905.405405405403</v>
      </c>
      <c r="F26" s="163"/>
      <c r="G26" s="163"/>
      <c r="H26" s="164"/>
      <c r="I26" s="162">
        <f>0.65*I25</f>
        <v>14932.432432432432</v>
      </c>
      <c r="J26" s="163"/>
      <c r="K26" s="163"/>
      <c r="L26" s="163"/>
      <c r="M26" s="164"/>
      <c r="N26" s="162">
        <f>0.65*N25</f>
        <v>23891.89189189189</v>
      </c>
      <c r="O26" s="163"/>
      <c r="P26" s="163"/>
      <c r="Q26" s="163"/>
      <c r="R26" s="164"/>
      <c r="S26" s="162">
        <f>0.5*S25</f>
        <v>22972.97297297297</v>
      </c>
      <c r="T26" s="163"/>
      <c r="U26" s="163"/>
      <c r="V26" s="163"/>
      <c r="W26" s="164"/>
      <c r="X26" s="162">
        <f>0.5*X25</f>
        <v>22972.972972972973</v>
      </c>
      <c r="Y26" s="163"/>
      <c r="Z26" s="163"/>
      <c r="AA26" s="164"/>
      <c r="AB26" s="162">
        <f>0.5*AB25</f>
        <v>29864.864864864863</v>
      </c>
      <c r="AC26" s="163"/>
      <c r="AD26" s="163"/>
      <c r="AE26" s="164"/>
      <c r="AF26" s="162">
        <f>0.5*AF25</f>
        <v>29864.864864864863</v>
      </c>
      <c r="AG26" s="163"/>
      <c r="AH26" s="163"/>
      <c r="AI26" s="164"/>
      <c r="AJ26" s="162">
        <f>0.65*AJ25</f>
        <v>29864.864864864863</v>
      </c>
      <c r="AK26" s="163"/>
      <c r="AL26" s="163"/>
      <c r="AM26" s="163"/>
      <c r="AN26" s="164"/>
      <c r="AO26" s="35">
        <f>0.5*AO25</f>
        <v>3216.2162162162163</v>
      </c>
      <c r="AP26" s="162">
        <f>0.5*AP25</f>
        <v>22972.972972972973</v>
      </c>
      <c r="AQ26" s="163"/>
      <c r="AR26" s="163"/>
      <c r="AS26" s="164"/>
      <c r="AT26" s="162">
        <f>0.5*AT25</f>
        <v>18378.37837837838</v>
      </c>
      <c r="AU26" s="163"/>
      <c r="AV26" s="163"/>
      <c r="AW26" s="163"/>
      <c r="AX26" s="164"/>
      <c r="AY26" s="35">
        <f>0.65*AY25</f>
        <v>1194.5945945945946</v>
      </c>
      <c r="AZ26" s="162">
        <f>0.5*AZ25</f>
        <v>13783.783783783785</v>
      </c>
      <c r="BA26" s="163"/>
      <c r="BB26" s="164"/>
      <c r="BC26" s="162">
        <f>0.65*BC25</f>
        <v>23891.891891891893</v>
      </c>
      <c r="BD26" s="163"/>
      <c r="BE26" s="163"/>
      <c r="BF26" s="164"/>
      <c r="BG26" s="102"/>
      <c r="BH26" s="35">
        <f t="shared" si="7"/>
        <v>278708.10810810805</v>
      </c>
      <c r="BI26" s="48"/>
      <c r="BJ26" s="102"/>
      <c r="BK26" s="102"/>
      <c r="BL26" s="116"/>
      <c r="BM26" s="116"/>
      <c r="BN26" s="102"/>
      <c r="BO26" s="162">
        <f>0.65*BO25</f>
        <v>7915.8885000000009</v>
      </c>
      <c r="BP26" s="163"/>
      <c r="BQ26" s="163"/>
      <c r="BR26" s="164"/>
      <c r="BS26" s="162">
        <f>0.65*BS25</f>
        <v>12120.355000000001</v>
      </c>
      <c r="BT26" s="163"/>
      <c r="BU26" s="163"/>
      <c r="BV26" s="163"/>
      <c r="BW26" s="164"/>
      <c r="BX26" s="162">
        <f>0.65*BX25</f>
        <v>26250.9</v>
      </c>
      <c r="BY26" s="163"/>
      <c r="BZ26" s="163"/>
      <c r="CA26" s="163"/>
      <c r="CB26" s="164"/>
      <c r="CC26" s="162">
        <f>0.5*CC25</f>
        <v>21823.19</v>
      </c>
      <c r="CD26" s="163"/>
      <c r="CE26" s="163"/>
      <c r="CF26" s="163"/>
      <c r="CG26" s="164"/>
      <c r="CH26" s="162">
        <f>0.5*CH25</f>
        <v>28155.14</v>
      </c>
      <c r="CI26" s="163"/>
      <c r="CJ26" s="163"/>
      <c r="CK26" s="164"/>
      <c r="CL26" s="162" t="s">
        <v>55</v>
      </c>
      <c r="CM26" s="163"/>
      <c r="CN26" s="163"/>
      <c r="CO26" s="164"/>
      <c r="CP26" s="162">
        <f>0.5*CP25</f>
        <v>28602.639999999999</v>
      </c>
      <c r="CQ26" s="163"/>
      <c r="CR26" s="163"/>
      <c r="CS26" s="164"/>
      <c r="CT26" s="162">
        <f>0.65*CT25</f>
        <v>25743.945500000002</v>
      </c>
      <c r="CU26" s="163"/>
      <c r="CV26" s="163"/>
      <c r="CW26" s="163"/>
      <c r="CX26" s="164"/>
      <c r="CY26" s="35">
        <f>0.5*CY25</f>
        <v>10405.513333333332</v>
      </c>
      <c r="CZ26" s="162">
        <f>0.5*CZ25</f>
        <v>13046.851666666666</v>
      </c>
      <c r="DA26" s="163"/>
      <c r="DB26" s="163"/>
      <c r="DC26" s="164"/>
      <c r="DD26" s="162">
        <f>0.5*DD25</f>
        <v>21529.235000000001</v>
      </c>
      <c r="DE26" s="163"/>
      <c r="DF26" s="163"/>
      <c r="DG26" s="163"/>
      <c r="DH26" s="164"/>
      <c r="DI26" s="35">
        <f>0.65*DI25</f>
        <v>0</v>
      </c>
      <c r="DJ26" s="162">
        <f>0.5*DJ25</f>
        <v>12954.715</v>
      </c>
      <c r="DK26" s="163"/>
      <c r="DL26" s="164"/>
      <c r="DM26" s="162">
        <f>0.65*DM25</f>
        <v>3210.5320000000006</v>
      </c>
      <c r="DN26" s="163"/>
      <c r="DO26" s="163"/>
      <c r="DP26" s="164"/>
      <c r="DQ26" s="102"/>
      <c r="DR26" s="102"/>
      <c r="DS26" s="102"/>
      <c r="DT26" s="78"/>
      <c r="DU26" s="35">
        <f>E26+I26+N26+S26+X26+AB26+AF26+AJ26+AP26+AT26+BC26+AZ26+AY26+AO26</f>
        <v>278708.10810810805</v>
      </c>
      <c r="DV26" s="48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Z26" s="36"/>
      <c r="FA26" s="29"/>
      <c r="FB26" s="36"/>
      <c r="FC26" s="37"/>
      <c r="FD26" s="38"/>
      <c r="FE26" s="36">
        <v>231000</v>
      </c>
      <c r="FF26" s="38"/>
      <c r="FG26" s="38"/>
      <c r="FH26" s="38"/>
    </row>
    <row r="27" spans="1:167" ht="14.1" thickBot="1">
      <c r="A27" s="32" t="s">
        <v>56</v>
      </c>
      <c r="B27" s="32">
        <v>0.25</v>
      </c>
      <c r="C27" s="50"/>
      <c r="D27" s="51" t="s">
        <v>57</v>
      </c>
      <c r="E27" s="162">
        <v>0</v>
      </c>
      <c r="F27" s="163"/>
      <c r="G27" s="163"/>
      <c r="H27" s="164"/>
      <c r="I27" s="162">
        <v>0</v>
      </c>
      <c r="J27" s="163"/>
      <c r="K27" s="163"/>
      <c r="L27" s="163"/>
      <c r="M27" s="164"/>
      <c r="N27" s="162">
        <v>0</v>
      </c>
      <c r="O27" s="163"/>
      <c r="P27" s="163"/>
      <c r="Q27" s="163"/>
      <c r="R27" s="164"/>
      <c r="S27" s="162">
        <f>0.25*S25</f>
        <v>11486.486486486485</v>
      </c>
      <c r="T27" s="163"/>
      <c r="U27" s="163"/>
      <c r="V27" s="163"/>
      <c r="W27" s="164"/>
      <c r="X27" s="162">
        <f>0.25*X25</f>
        <v>11486.486486486487</v>
      </c>
      <c r="Y27" s="163"/>
      <c r="Z27" s="163"/>
      <c r="AA27" s="164"/>
      <c r="AB27" s="162">
        <f>0.25*AB25</f>
        <v>14932.432432432432</v>
      </c>
      <c r="AC27" s="163"/>
      <c r="AD27" s="163"/>
      <c r="AE27" s="164"/>
      <c r="AF27" s="162">
        <f>0.25*AF25</f>
        <v>14932.432432432432</v>
      </c>
      <c r="AG27" s="163"/>
      <c r="AH27" s="163"/>
      <c r="AI27" s="164"/>
      <c r="AJ27" s="162">
        <v>0</v>
      </c>
      <c r="AK27" s="163"/>
      <c r="AL27" s="163"/>
      <c r="AM27" s="163"/>
      <c r="AN27" s="164"/>
      <c r="AO27" s="35">
        <f>0.25*AO25</f>
        <v>1608.1081081081081</v>
      </c>
      <c r="AP27" s="162">
        <f>0.25*AP25</f>
        <v>11486.486486486487</v>
      </c>
      <c r="AQ27" s="163"/>
      <c r="AR27" s="163"/>
      <c r="AS27" s="164"/>
      <c r="AT27" s="162">
        <f>0.25*AT25</f>
        <v>9189.1891891891901</v>
      </c>
      <c r="AU27" s="163"/>
      <c r="AV27" s="163"/>
      <c r="AW27" s="163"/>
      <c r="AX27" s="164"/>
      <c r="AY27" s="35">
        <v>0</v>
      </c>
      <c r="AZ27" s="162">
        <f>0.25*AZ25</f>
        <v>6891.8918918918926</v>
      </c>
      <c r="BA27" s="163"/>
      <c r="BB27" s="164"/>
      <c r="BC27" s="162">
        <f>0</f>
        <v>0</v>
      </c>
      <c r="BD27" s="163"/>
      <c r="BE27" s="163"/>
      <c r="BF27" s="164"/>
      <c r="BG27" s="102"/>
      <c r="BH27" s="35">
        <f t="shared" si="7"/>
        <v>82013.513513513506</v>
      </c>
      <c r="BI27" s="48"/>
      <c r="BJ27" s="102"/>
      <c r="BK27" s="102"/>
      <c r="BL27" s="116"/>
      <c r="BM27" s="116"/>
      <c r="BN27" s="102"/>
      <c r="BO27" s="162">
        <v>0</v>
      </c>
      <c r="BP27" s="163"/>
      <c r="BQ27" s="163"/>
      <c r="BR27" s="164"/>
      <c r="BS27" s="162">
        <v>0</v>
      </c>
      <c r="BT27" s="163"/>
      <c r="BU27" s="163"/>
      <c r="BV27" s="163"/>
      <c r="BW27" s="164"/>
      <c r="BX27" s="162">
        <v>0</v>
      </c>
      <c r="BY27" s="163"/>
      <c r="BZ27" s="163"/>
      <c r="CA27" s="163"/>
      <c r="CB27" s="164"/>
      <c r="CC27" s="162">
        <f>0.25*CC25</f>
        <v>10911.594999999999</v>
      </c>
      <c r="CD27" s="163"/>
      <c r="CE27" s="163"/>
      <c r="CF27" s="163"/>
      <c r="CG27" s="164"/>
      <c r="CH27" s="162">
        <f>0.25*CH25</f>
        <v>14077.57</v>
      </c>
      <c r="CI27" s="163"/>
      <c r="CJ27" s="163"/>
      <c r="CK27" s="164"/>
      <c r="CL27" s="162">
        <f>0.25*CL25</f>
        <v>14379.797500000001</v>
      </c>
      <c r="CM27" s="163"/>
      <c r="CN27" s="163"/>
      <c r="CO27" s="164"/>
      <c r="CP27" s="162">
        <f>0.25*CP25</f>
        <v>14301.32</v>
      </c>
      <c r="CQ27" s="163"/>
      <c r="CR27" s="163"/>
      <c r="CS27" s="164"/>
      <c r="CT27" s="162">
        <v>0</v>
      </c>
      <c r="CU27" s="163"/>
      <c r="CV27" s="163"/>
      <c r="CW27" s="163"/>
      <c r="CX27" s="164"/>
      <c r="CY27" s="35">
        <f>0.25*CY25</f>
        <v>5202.7566666666662</v>
      </c>
      <c r="CZ27" s="162">
        <f>0.25*CZ25</f>
        <v>6523.4258333333328</v>
      </c>
      <c r="DA27" s="163"/>
      <c r="DB27" s="163"/>
      <c r="DC27" s="164"/>
      <c r="DD27" s="162">
        <f>0.25*DD25</f>
        <v>10764.6175</v>
      </c>
      <c r="DE27" s="163"/>
      <c r="DF27" s="163"/>
      <c r="DG27" s="163"/>
      <c r="DH27" s="164"/>
      <c r="DI27" s="35">
        <v>0</v>
      </c>
      <c r="DJ27" s="162">
        <f>0.25*DJ25</f>
        <v>6477.3575000000001</v>
      </c>
      <c r="DK27" s="163"/>
      <c r="DL27" s="164"/>
      <c r="DM27" s="162">
        <f>0</f>
        <v>0</v>
      </c>
      <c r="DN27" s="163"/>
      <c r="DO27" s="163"/>
      <c r="DP27" s="164"/>
      <c r="DQ27" s="102"/>
      <c r="DR27" s="102"/>
      <c r="DS27" s="102"/>
      <c r="DT27" s="78"/>
      <c r="DU27" s="35">
        <f t="shared" ref="DU27:DU28" si="8">E27+I27+N27+S27+X27+AB27+AF27+AJ27+AP27+AT27+BC27+AZ27+AY27+AO27</f>
        <v>82013.513513513521</v>
      </c>
      <c r="DV27" s="48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Z27" s="36"/>
      <c r="FA27" s="29"/>
      <c r="FB27" s="36"/>
      <c r="FC27" s="37"/>
      <c r="FD27" s="38"/>
      <c r="FE27" s="36">
        <v>129000</v>
      </c>
      <c r="FF27" s="38"/>
      <c r="FG27" s="38"/>
      <c r="FH27" s="38"/>
    </row>
    <row r="28" spans="1:167" ht="14.1" thickBot="1">
      <c r="A28" s="32" t="s">
        <v>58</v>
      </c>
      <c r="B28" s="32">
        <v>0.15</v>
      </c>
      <c r="C28" s="50"/>
      <c r="D28" s="51" t="s">
        <v>59</v>
      </c>
      <c r="E28" s="162">
        <f>0.35*E25</f>
        <v>11256.756756756755</v>
      </c>
      <c r="F28" s="165"/>
      <c r="G28" s="165"/>
      <c r="H28" s="166"/>
      <c r="I28" s="162">
        <f>0.35*I25</f>
        <v>8040.540540540539</v>
      </c>
      <c r="J28" s="163"/>
      <c r="K28" s="163"/>
      <c r="L28" s="163"/>
      <c r="M28" s="164"/>
      <c r="N28" s="162">
        <f>0.35*N25</f>
        <v>12864.864864864863</v>
      </c>
      <c r="O28" s="163"/>
      <c r="P28" s="163"/>
      <c r="Q28" s="163"/>
      <c r="R28" s="164"/>
      <c r="S28" s="162">
        <f>0.25*S25</f>
        <v>11486.486486486485</v>
      </c>
      <c r="T28" s="163"/>
      <c r="U28" s="163"/>
      <c r="V28" s="163"/>
      <c r="W28" s="164"/>
      <c r="X28" s="162">
        <f>0.25*X25</f>
        <v>11486.486486486487</v>
      </c>
      <c r="Y28" s="163"/>
      <c r="Z28" s="163"/>
      <c r="AA28" s="164"/>
      <c r="AB28" s="162">
        <f>0.25*AB25</f>
        <v>14932.432432432432</v>
      </c>
      <c r="AC28" s="163"/>
      <c r="AD28" s="163"/>
      <c r="AE28" s="164"/>
      <c r="AF28" s="162">
        <f>0.25*AF25</f>
        <v>14932.432432432432</v>
      </c>
      <c r="AG28" s="163"/>
      <c r="AH28" s="163"/>
      <c r="AI28" s="164"/>
      <c r="AJ28" s="162">
        <f>0.35*AJ25</f>
        <v>16081.081081081078</v>
      </c>
      <c r="AK28" s="163"/>
      <c r="AL28" s="163"/>
      <c r="AM28" s="163"/>
      <c r="AN28" s="164"/>
      <c r="AO28" s="35">
        <f>0.25*AO25</f>
        <v>1608.1081081081081</v>
      </c>
      <c r="AP28" s="162">
        <f>0.25*AP25</f>
        <v>11486.486486486487</v>
      </c>
      <c r="AQ28" s="163"/>
      <c r="AR28" s="163"/>
      <c r="AS28" s="164"/>
      <c r="AT28" s="162">
        <f>0.25*AT25</f>
        <v>9189.1891891891901</v>
      </c>
      <c r="AU28" s="163"/>
      <c r="AV28" s="163"/>
      <c r="AW28" s="163"/>
      <c r="AX28" s="164"/>
      <c r="AY28" s="35">
        <f>0.35*AY25</f>
        <v>643.24324324324323</v>
      </c>
      <c r="AZ28" s="162">
        <f>0.25*AZ25</f>
        <v>6891.8918918918926</v>
      </c>
      <c r="BA28" s="163"/>
      <c r="BB28" s="164"/>
      <c r="BC28" s="162">
        <f>0.35*BC25</f>
        <v>12864.864864864865</v>
      </c>
      <c r="BD28" s="163"/>
      <c r="BE28" s="163"/>
      <c r="BF28" s="164"/>
      <c r="BG28" s="102"/>
      <c r="BH28" s="35">
        <f t="shared" si="7"/>
        <v>143764.86486486482</v>
      </c>
      <c r="BI28" s="48"/>
      <c r="BJ28" s="102"/>
      <c r="BK28" s="102"/>
      <c r="BL28" s="116"/>
      <c r="BM28" s="116"/>
      <c r="BN28" s="102"/>
      <c r="BO28" s="162">
        <f>0.35*BO25</f>
        <v>4262.4014999999999</v>
      </c>
      <c r="BP28" s="165"/>
      <c r="BQ28" s="165"/>
      <c r="BR28" s="166"/>
      <c r="BS28" s="162">
        <f>0.35*BS25</f>
        <v>6526.3450000000003</v>
      </c>
      <c r="BT28" s="163"/>
      <c r="BU28" s="163"/>
      <c r="BV28" s="163"/>
      <c r="BW28" s="164"/>
      <c r="BX28" s="162">
        <f>0.35*BX25</f>
        <v>14135.099999999999</v>
      </c>
      <c r="BY28" s="163"/>
      <c r="BZ28" s="163"/>
      <c r="CA28" s="163"/>
      <c r="CB28" s="164"/>
      <c r="CC28" s="162">
        <f>0.25*CC25</f>
        <v>10911.594999999999</v>
      </c>
      <c r="CD28" s="163"/>
      <c r="CE28" s="163"/>
      <c r="CF28" s="163"/>
      <c r="CG28" s="164"/>
      <c r="CH28" s="162">
        <f>0.25*CH25</f>
        <v>14077.57</v>
      </c>
      <c r="CI28" s="163"/>
      <c r="CJ28" s="163"/>
      <c r="CK28" s="164"/>
      <c r="CL28" s="162">
        <f>0.25*CL25</f>
        <v>14379.797500000001</v>
      </c>
      <c r="CM28" s="163"/>
      <c r="CN28" s="163"/>
      <c r="CO28" s="164"/>
      <c r="CP28" s="162">
        <f>0.25*CP25</f>
        <v>14301.32</v>
      </c>
      <c r="CQ28" s="163"/>
      <c r="CR28" s="163"/>
      <c r="CS28" s="164"/>
      <c r="CT28" s="162">
        <f>0.35*CT25</f>
        <v>13862.1245</v>
      </c>
      <c r="CU28" s="163"/>
      <c r="CV28" s="163"/>
      <c r="CW28" s="163"/>
      <c r="CX28" s="164"/>
      <c r="CY28" s="35">
        <f>0.25*CY25</f>
        <v>5202.7566666666662</v>
      </c>
      <c r="CZ28" s="162">
        <f>0.25*CZ25</f>
        <v>6523.4258333333328</v>
      </c>
      <c r="DA28" s="163"/>
      <c r="DB28" s="163"/>
      <c r="DC28" s="164"/>
      <c r="DD28" s="162">
        <f>0.25*DD25</f>
        <v>10764.6175</v>
      </c>
      <c r="DE28" s="163"/>
      <c r="DF28" s="163"/>
      <c r="DG28" s="163"/>
      <c r="DH28" s="164"/>
      <c r="DI28" s="35">
        <f>0.35*DI25</f>
        <v>0</v>
      </c>
      <c r="DJ28" s="162">
        <f>0.25*DJ25</f>
        <v>6477.3575000000001</v>
      </c>
      <c r="DK28" s="163"/>
      <c r="DL28" s="164"/>
      <c r="DM28" s="162">
        <f>0.35*DM25</f>
        <v>1728.748</v>
      </c>
      <c r="DN28" s="163"/>
      <c r="DO28" s="163"/>
      <c r="DP28" s="164"/>
      <c r="DQ28" s="102"/>
      <c r="DR28" s="102"/>
      <c r="DS28" s="102"/>
      <c r="DT28" s="78"/>
      <c r="DU28" s="35">
        <f t="shared" si="8"/>
        <v>143764.86486486485</v>
      </c>
      <c r="DV28" s="48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Z28" s="36"/>
      <c r="FA28" s="29"/>
      <c r="FB28" s="36"/>
      <c r="FC28" s="37" t="e">
        <v>#REF!</v>
      </c>
      <c r="FD28" s="38"/>
      <c r="FE28" s="36">
        <v>76000</v>
      </c>
      <c r="FF28" s="38"/>
      <c r="FG28" s="38"/>
      <c r="FH28" s="38"/>
    </row>
    <row r="29" spans="1:167" ht="15" thickBot="1">
      <c r="A29" s="32"/>
      <c r="B29" s="32"/>
      <c r="C29" s="50"/>
      <c r="D29" s="26" t="s">
        <v>60</v>
      </c>
      <c r="E29" s="203">
        <v>0</v>
      </c>
      <c r="F29" s="204"/>
      <c r="G29" s="204"/>
      <c r="H29" s="205"/>
      <c r="I29" s="206">
        <v>0</v>
      </c>
      <c r="J29" s="207"/>
      <c r="K29" s="207"/>
      <c r="L29" s="207"/>
      <c r="M29" s="208"/>
      <c r="N29" s="203">
        <v>7000</v>
      </c>
      <c r="O29" s="204"/>
      <c r="P29" s="204"/>
      <c r="Q29" s="204"/>
      <c r="R29" s="205"/>
      <c r="S29" s="203">
        <v>7000</v>
      </c>
      <c r="T29" s="204"/>
      <c r="U29" s="204"/>
      <c r="V29" s="204"/>
      <c r="W29" s="205"/>
      <c r="X29" s="203">
        <f>10600*X10</f>
        <v>9740.5405405405418</v>
      </c>
      <c r="Y29" s="204"/>
      <c r="Z29" s="204"/>
      <c r="AA29" s="205"/>
      <c r="AB29" s="203">
        <f>21200*AB10</f>
        <v>19481.08108108108</v>
      </c>
      <c r="AC29" s="204"/>
      <c r="AD29" s="204"/>
      <c r="AE29" s="205"/>
      <c r="AF29" s="203">
        <f>21200*AF10</f>
        <v>19481.08108108108</v>
      </c>
      <c r="AG29" s="204"/>
      <c r="AH29" s="204"/>
      <c r="AI29" s="205"/>
      <c r="AJ29" s="203">
        <f>14800*AJ10</f>
        <v>13600</v>
      </c>
      <c r="AK29" s="204"/>
      <c r="AL29" s="204"/>
      <c r="AM29" s="204"/>
      <c r="AN29" s="205"/>
      <c r="AO29" s="194">
        <v>0</v>
      </c>
      <c r="AP29" s="203">
        <f>17000*AP10</f>
        <v>15621.621621621622</v>
      </c>
      <c r="AQ29" s="204"/>
      <c r="AR29" s="204"/>
      <c r="AS29" s="205"/>
      <c r="AT29" s="203">
        <f>8500*AT10</f>
        <v>7810.8108108108108</v>
      </c>
      <c r="AU29" s="204"/>
      <c r="AV29" s="204"/>
      <c r="AW29" s="204"/>
      <c r="AX29" s="205"/>
      <c r="AY29" s="68">
        <v>0</v>
      </c>
      <c r="AZ29" s="203">
        <f>6400*AY10</f>
        <v>5881.0810810810817</v>
      </c>
      <c r="BA29" s="204"/>
      <c r="BB29" s="205"/>
      <c r="BC29" s="203">
        <f>6400*BC10</f>
        <v>5881.0810810810817</v>
      </c>
      <c r="BD29" s="204"/>
      <c r="BE29" s="204"/>
      <c r="BF29" s="205"/>
      <c r="BG29" s="103"/>
      <c r="BH29" s="28">
        <f t="shared" si="7"/>
        <v>111497.29729729729</v>
      </c>
      <c r="BI29" s="29">
        <f t="shared" ref="BI29:BI36" si="9">BH29/$DU$38</f>
        <v>3.1285053819214204E-2</v>
      </c>
      <c r="BJ29" s="103"/>
      <c r="BK29" s="103"/>
      <c r="BL29" s="117"/>
      <c r="BM29" s="117"/>
      <c r="BN29" s="103"/>
      <c r="BO29" s="203">
        <v>0</v>
      </c>
      <c r="BP29" s="204"/>
      <c r="BQ29" s="204"/>
      <c r="BR29" s="205"/>
      <c r="BS29" s="206">
        <v>0</v>
      </c>
      <c r="BT29" s="207"/>
      <c r="BU29" s="207"/>
      <c r="BV29" s="207"/>
      <c r="BW29" s="208"/>
      <c r="BX29" s="203">
        <v>7000</v>
      </c>
      <c r="BY29" s="204"/>
      <c r="BZ29" s="204"/>
      <c r="CA29" s="204"/>
      <c r="CB29" s="205"/>
      <c r="CC29" s="203">
        <v>7000</v>
      </c>
      <c r="CD29" s="204"/>
      <c r="CE29" s="204"/>
      <c r="CF29" s="204"/>
      <c r="CG29" s="205"/>
      <c r="CH29" s="203">
        <v>10289.450000000001</v>
      </c>
      <c r="CI29" s="204"/>
      <c r="CJ29" s="204"/>
      <c r="CK29" s="205"/>
      <c r="CL29" s="203">
        <v>20101.09</v>
      </c>
      <c r="CM29" s="204"/>
      <c r="CN29" s="204"/>
      <c r="CO29" s="205"/>
      <c r="CP29" s="203">
        <v>18086.810000000001</v>
      </c>
      <c r="CQ29" s="204"/>
      <c r="CR29" s="204"/>
      <c r="CS29" s="205"/>
      <c r="CT29" s="203">
        <v>19580.419999999998</v>
      </c>
      <c r="CU29" s="204"/>
      <c r="CV29" s="204"/>
      <c r="CW29" s="204"/>
      <c r="CX29" s="205"/>
      <c r="CY29" s="194">
        <v>0</v>
      </c>
      <c r="CZ29" s="203">
        <v>15528.35</v>
      </c>
      <c r="DA29" s="204"/>
      <c r="DB29" s="204"/>
      <c r="DC29" s="205"/>
      <c r="DD29" s="203">
        <v>5971.49</v>
      </c>
      <c r="DE29" s="204"/>
      <c r="DF29" s="204"/>
      <c r="DG29" s="204"/>
      <c r="DH29" s="205"/>
      <c r="DI29" s="68">
        <v>0</v>
      </c>
      <c r="DJ29" s="203">
        <v>3714.04</v>
      </c>
      <c r="DK29" s="204"/>
      <c r="DL29" s="205"/>
      <c r="DM29" s="203">
        <v>3975.98</v>
      </c>
      <c r="DN29" s="204"/>
      <c r="DO29" s="204"/>
      <c r="DP29" s="205"/>
      <c r="DQ29" s="103"/>
      <c r="DR29" s="103"/>
      <c r="DS29" s="103"/>
      <c r="DT29" s="27"/>
      <c r="DU29" s="28">
        <f>SUM(BO29:DP29)</f>
        <v>111247.63</v>
      </c>
      <c r="DV29" s="29">
        <f t="shared" ref="DV29:DV36" si="10">DU29/$DU$38</f>
        <v>3.1214999611424606E-2</v>
      </c>
      <c r="DW29" s="107">
        <f>DU29-BH29</f>
        <v>-249.66729729728831</v>
      </c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7"/>
      <c r="EW29" s="97"/>
      <c r="EX29" s="97"/>
      <c r="EZ29" s="36"/>
      <c r="FA29" s="29"/>
      <c r="FB29" s="36"/>
      <c r="FC29" s="37"/>
      <c r="FD29" s="38"/>
      <c r="FE29" s="36"/>
      <c r="FF29" s="38"/>
      <c r="FG29" s="38"/>
      <c r="FH29" s="38"/>
    </row>
    <row r="30" spans="1:167" ht="15" thickBot="1">
      <c r="A30" s="25" t="s">
        <v>41</v>
      </c>
      <c r="B30" s="25"/>
      <c r="C30" s="47"/>
      <c r="D30" s="26" t="s">
        <v>61</v>
      </c>
      <c r="E30" s="192">
        <v>0</v>
      </c>
      <c r="F30" s="198"/>
      <c r="G30" s="198"/>
      <c r="H30" s="199"/>
      <c r="I30" s="192">
        <v>0</v>
      </c>
      <c r="J30" s="185"/>
      <c r="K30" s="185"/>
      <c r="L30" s="185"/>
      <c r="M30" s="186"/>
      <c r="N30" s="192">
        <v>0</v>
      </c>
      <c r="O30" s="185"/>
      <c r="P30" s="185"/>
      <c r="Q30" s="185"/>
      <c r="R30" s="186"/>
      <c r="S30" s="192">
        <f>15000*S10</f>
        <v>13783.783783783783</v>
      </c>
      <c r="T30" s="185"/>
      <c r="U30" s="185"/>
      <c r="V30" s="185"/>
      <c r="W30" s="186"/>
      <c r="X30" s="192">
        <f>20000*X10</f>
        <v>18378.37837837838</v>
      </c>
      <c r="Y30" s="185"/>
      <c r="Z30" s="185"/>
      <c r="AA30" s="186"/>
      <c r="AB30" s="192">
        <f>35000*AB10</f>
        <v>32162.16216216216</v>
      </c>
      <c r="AC30" s="185"/>
      <c r="AD30" s="185"/>
      <c r="AE30" s="186"/>
      <c r="AF30" s="192">
        <f>35000*AF10</f>
        <v>32162.16216216216</v>
      </c>
      <c r="AG30" s="185"/>
      <c r="AH30" s="185"/>
      <c r="AI30" s="186"/>
      <c r="AJ30" s="192">
        <v>0</v>
      </c>
      <c r="AK30" s="185"/>
      <c r="AL30" s="185"/>
      <c r="AM30" s="185"/>
      <c r="AN30" s="186"/>
      <c r="AO30" s="194">
        <v>0</v>
      </c>
      <c r="AP30" s="192">
        <f>30000*AP10</f>
        <v>27567.56756756757</v>
      </c>
      <c r="AQ30" s="185"/>
      <c r="AR30" s="185"/>
      <c r="AS30" s="186"/>
      <c r="AT30" s="192">
        <v>0</v>
      </c>
      <c r="AU30" s="185"/>
      <c r="AV30" s="185"/>
      <c r="AW30" s="185"/>
      <c r="AX30" s="186"/>
      <c r="AY30" s="194">
        <v>0</v>
      </c>
      <c r="AZ30" s="192">
        <f>30000*AZ10</f>
        <v>27567.56756756757</v>
      </c>
      <c r="BA30" s="185"/>
      <c r="BB30" s="186"/>
      <c r="BC30" s="192">
        <v>0</v>
      </c>
      <c r="BD30" s="185"/>
      <c r="BE30" s="185"/>
      <c r="BF30" s="186"/>
      <c r="BG30" s="100"/>
      <c r="BH30" s="28">
        <f t="shared" si="7"/>
        <v>151621.62162162163</v>
      </c>
      <c r="BI30" s="29">
        <f t="shared" si="9"/>
        <v>4.2543547759197095E-2</v>
      </c>
      <c r="BJ30" s="100"/>
      <c r="BK30" s="100"/>
      <c r="BL30" s="111"/>
      <c r="BM30" s="111"/>
      <c r="BN30" s="100"/>
      <c r="BO30" s="192">
        <f>8265</f>
        <v>8265</v>
      </c>
      <c r="BP30" s="198"/>
      <c r="BQ30" s="198"/>
      <c r="BR30" s="199"/>
      <c r="BS30" s="192">
        <v>8104.51</v>
      </c>
      <c r="BT30" s="185"/>
      <c r="BU30" s="185"/>
      <c r="BV30" s="185"/>
      <c r="BW30" s="186"/>
      <c r="BX30" s="192">
        <v>0</v>
      </c>
      <c r="BY30" s="185"/>
      <c r="BZ30" s="185"/>
      <c r="CA30" s="185"/>
      <c r="CB30" s="186"/>
      <c r="CC30" s="192">
        <v>29553.61</v>
      </c>
      <c r="CD30" s="198"/>
      <c r="CE30" s="198"/>
      <c r="CF30" s="198"/>
      <c r="CG30" s="199"/>
      <c r="CH30" s="192">
        <v>38096.550000000003</v>
      </c>
      <c r="CI30" s="198"/>
      <c r="CJ30" s="198"/>
      <c r="CK30" s="199"/>
      <c r="CL30" s="192">
        <v>50103.42</v>
      </c>
      <c r="CM30" s="198"/>
      <c r="CN30" s="198"/>
      <c r="CO30" s="199"/>
      <c r="CP30" s="192">
        <v>67056.14</v>
      </c>
      <c r="CQ30" s="198"/>
      <c r="CR30" s="198"/>
      <c r="CS30" s="199"/>
      <c r="CT30" s="192">
        <v>16582.53</v>
      </c>
      <c r="CU30" s="198"/>
      <c r="CV30" s="198"/>
      <c r="CW30" s="198"/>
      <c r="CX30" s="199"/>
      <c r="CY30" s="194">
        <v>0</v>
      </c>
      <c r="CZ30" s="192">
        <v>0</v>
      </c>
      <c r="DA30" s="185"/>
      <c r="DB30" s="185"/>
      <c r="DC30" s="186"/>
      <c r="DD30" s="192">
        <v>66181.84</v>
      </c>
      <c r="DE30" s="185"/>
      <c r="DF30" s="185"/>
      <c r="DG30" s="185"/>
      <c r="DH30" s="186"/>
      <c r="DI30" s="194">
        <v>0</v>
      </c>
      <c r="DJ30" s="192">
        <f>28889.4</f>
        <v>28889.4</v>
      </c>
      <c r="DK30" s="185"/>
      <c r="DL30" s="186"/>
      <c r="DM30" s="192">
        <f>7266.48</f>
        <v>7266.48</v>
      </c>
      <c r="DN30" s="185"/>
      <c r="DO30" s="185"/>
      <c r="DP30" s="186"/>
      <c r="DQ30" s="100"/>
      <c r="DR30" s="100"/>
      <c r="DS30" s="100"/>
      <c r="DT30" s="27"/>
      <c r="DU30" s="28">
        <f>SUM(BO30:DP30)</f>
        <v>320099.48000000004</v>
      </c>
      <c r="DV30" s="29">
        <f t="shared" si="10"/>
        <v>8.9816791097637044E-2</v>
      </c>
      <c r="DW30" s="107">
        <f>DU30-(BH30+BH31)</f>
        <v>25126.507027027023</v>
      </c>
      <c r="DX30" s="97"/>
      <c r="DY30" s="97"/>
      <c r="DZ30" s="97"/>
      <c r="EA30" s="97"/>
      <c r="EB30" s="97"/>
      <c r="EC30" s="97"/>
      <c r="ED30" s="97"/>
      <c r="EE30" s="97"/>
      <c r="EF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97"/>
      <c r="ER30" s="97"/>
      <c r="ES30" s="97"/>
      <c r="ET30" s="97"/>
      <c r="EU30" s="97"/>
      <c r="EV30" s="97"/>
      <c r="EW30" s="97"/>
      <c r="EX30" s="97"/>
      <c r="EZ30" s="28">
        <v>159585.55000000002</v>
      </c>
      <c r="FA30" s="29">
        <v>4.1631845169033982E-2</v>
      </c>
      <c r="FB30" s="28">
        <v>5414.4499999999825</v>
      </c>
      <c r="FC30" s="30">
        <v>3.3928197133136315E-2</v>
      </c>
      <c r="FD30" s="31"/>
      <c r="FE30" s="28">
        <v>142000</v>
      </c>
      <c r="FF30" s="31"/>
      <c r="FG30" s="31"/>
      <c r="FH30" s="31"/>
    </row>
    <row r="31" spans="1:167" ht="15" thickBot="1">
      <c r="A31" s="25" t="s">
        <v>41</v>
      </c>
      <c r="B31" s="25"/>
      <c r="C31" s="47"/>
      <c r="D31" s="26" t="s">
        <v>62</v>
      </c>
      <c r="E31" s="192">
        <f>5000*E10</f>
        <v>4594.5945945945941</v>
      </c>
      <c r="F31" s="198"/>
      <c r="G31" s="198"/>
      <c r="H31" s="199"/>
      <c r="I31" s="192">
        <f>10000*I10</f>
        <v>9189.1891891891883</v>
      </c>
      <c r="J31" s="185"/>
      <c r="K31" s="185"/>
      <c r="L31" s="185"/>
      <c r="M31" s="186"/>
      <c r="N31" s="192">
        <f>N10*13000</f>
        <v>11945.945945945945</v>
      </c>
      <c r="O31" s="185"/>
      <c r="P31" s="185"/>
      <c r="Q31" s="185"/>
      <c r="R31" s="186"/>
      <c r="S31" s="192">
        <f>S10*13000</f>
        <v>11945.945945945945</v>
      </c>
      <c r="T31" s="185"/>
      <c r="U31" s="185"/>
      <c r="V31" s="185"/>
      <c r="W31" s="186"/>
      <c r="X31" s="192">
        <f>X10*15000</f>
        <v>13783.783783783785</v>
      </c>
      <c r="Y31" s="185"/>
      <c r="Z31" s="185"/>
      <c r="AA31" s="186"/>
      <c r="AB31" s="192">
        <f>AB10*20000</f>
        <v>18378.378378378377</v>
      </c>
      <c r="AC31" s="185"/>
      <c r="AD31" s="185"/>
      <c r="AE31" s="186"/>
      <c r="AF31" s="192">
        <f>20000*AJ10</f>
        <v>18378.378378378377</v>
      </c>
      <c r="AG31" s="185"/>
      <c r="AH31" s="185"/>
      <c r="AI31" s="186"/>
      <c r="AJ31" s="192">
        <f>15000*AJ10</f>
        <v>13783.783783783783</v>
      </c>
      <c r="AK31" s="185"/>
      <c r="AL31" s="185"/>
      <c r="AM31" s="185"/>
      <c r="AN31" s="186"/>
      <c r="AO31" s="194">
        <f>5000*AP10</f>
        <v>4594.594594594595</v>
      </c>
      <c r="AP31" s="192">
        <f>15000*AP10</f>
        <v>13783.783783783785</v>
      </c>
      <c r="AQ31" s="185"/>
      <c r="AR31" s="185"/>
      <c r="AS31" s="186"/>
      <c r="AT31" s="192">
        <f>10000*AT10</f>
        <v>9189.1891891891901</v>
      </c>
      <c r="AU31" s="185"/>
      <c r="AV31" s="185"/>
      <c r="AW31" s="185"/>
      <c r="AX31" s="186"/>
      <c r="AY31" s="194">
        <f>5000*AY10</f>
        <v>4594.594594594595</v>
      </c>
      <c r="AZ31" s="192">
        <f>10000*AZ10</f>
        <v>9189.1891891891901</v>
      </c>
      <c r="BA31" s="185"/>
      <c r="BB31" s="186"/>
      <c r="BC31" s="192">
        <v>0</v>
      </c>
      <c r="BD31" s="185"/>
      <c r="BE31" s="185"/>
      <c r="BF31" s="186"/>
      <c r="BG31" s="100"/>
      <c r="BH31" s="28">
        <f t="shared" si="7"/>
        <v>143351.35135135136</v>
      </c>
      <c r="BI31" s="29">
        <f t="shared" si="9"/>
        <v>4.0222990608695434E-2</v>
      </c>
      <c r="BJ31" s="100"/>
      <c r="BK31" s="100"/>
      <c r="BL31" s="111"/>
      <c r="BM31" s="111"/>
      <c r="BN31" s="100"/>
      <c r="BO31" s="192"/>
      <c r="BP31" s="198"/>
      <c r="BQ31" s="198"/>
      <c r="BR31" s="199"/>
      <c r="BS31" s="192"/>
      <c r="BT31" s="185"/>
      <c r="BU31" s="185"/>
      <c r="BV31" s="185"/>
      <c r="BW31" s="186"/>
      <c r="BX31" s="192"/>
      <c r="BY31" s="185"/>
      <c r="BZ31" s="185"/>
      <c r="CA31" s="185"/>
      <c r="CB31" s="186"/>
      <c r="CC31" s="192"/>
      <c r="CD31" s="185"/>
      <c r="CE31" s="185"/>
      <c r="CF31" s="185"/>
      <c r="CG31" s="186"/>
      <c r="CH31" s="192"/>
      <c r="CI31" s="185"/>
      <c r="CJ31" s="185"/>
      <c r="CK31" s="186"/>
      <c r="CL31" s="192"/>
      <c r="CM31" s="185"/>
      <c r="CN31" s="185"/>
      <c r="CO31" s="186"/>
      <c r="CP31" s="192"/>
      <c r="CQ31" s="185"/>
      <c r="CR31" s="185"/>
      <c r="CS31" s="186"/>
      <c r="CT31" s="192"/>
      <c r="CU31" s="185"/>
      <c r="CV31" s="185"/>
      <c r="CW31" s="185"/>
      <c r="CX31" s="186"/>
      <c r="CY31" s="194"/>
      <c r="CZ31" s="192"/>
      <c r="DA31" s="185"/>
      <c r="DB31" s="185"/>
      <c r="DC31" s="186"/>
      <c r="DD31" s="192"/>
      <c r="DE31" s="185"/>
      <c r="DF31" s="185"/>
      <c r="DG31" s="185"/>
      <c r="DH31" s="186"/>
      <c r="DI31" s="194"/>
      <c r="DJ31" s="192"/>
      <c r="DK31" s="185"/>
      <c r="DL31" s="186"/>
      <c r="DM31" s="192">
        <v>0</v>
      </c>
      <c r="DN31" s="185"/>
      <c r="DO31" s="185"/>
      <c r="DP31" s="186"/>
      <c r="DQ31" s="100"/>
      <c r="DR31" s="100"/>
      <c r="DS31" s="100"/>
      <c r="DT31" s="27"/>
      <c r="DU31" s="28">
        <f>SUM(BO31:DP31)</f>
        <v>0</v>
      </c>
      <c r="DV31" s="29">
        <f t="shared" si="10"/>
        <v>0</v>
      </c>
      <c r="DW31" s="97"/>
      <c r="DX31" s="97"/>
      <c r="DY31" s="97"/>
      <c r="DZ31" s="97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97"/>
      <c r="EQ31" s="97"/>
      <c r="ER31" s="97"/>
      <c r="ES31" s="97"/>
      <c r="ET31" s="97"/>
      <c r="EU31" s="97"/>
      <c r="EV31" s="97"/>
      <c r="EW31" s="97"/>
      <c r="EX31" s="97"/>
      <c r="EZ31" s="28">
        <v>130085.15999999999</v>
      </c>
      <c r="FA31" s="29">
        <v>3.3935937432361583E-2</v>
      </c>
      <c r="FB31" s="28">
        <v>25914.840000000011</v>
      </c>
      <c r="FC31" s="30">
        <v>0.19921442230612635</v>
      </c>
      <c r="FD31" s="31"/>
      <c r="FE31" s="28">
        <v>157000</v>
      </c>
      <c r="FF31" s="31"/>
      <c r="FG31" s="31"/>
      <c r="FH31" s="31"/>
    </row>
    <row r="32" spans="1:167" ht="15" thickBot="1">
      <c r="A32" s="25" t="s">
        <v>41</v>
      </c>
      <c r="B32" s="25"/>
      <c r="C32" s="47"/>
      <c r="D32" s="26" t="s">
        <v>63</v>
      </c>
      <c r="E32" s="192">
        <f>10000*E10</f>
        <v>9189.1891891891883</v>
      </c>
      <c r="F32" s="185"/>
      <c r="G32" s="185"/>
      <c r="H32" s="186"/>
      <c r="I32" s="192">
        <f>10000*I10</f>
        <v>9189.1891891891883</v>
      </c>
      <c r="J32" s="185"/>
      <c r="K32" s="185"/>
      <c r="L32" s="185"/>
      <c r="M32" s="186"/>
      <c r="N32" s="192">
        <f>28000*N10</f>
        <v>25729.729729729726</v>
      </c>
      <c r="O32" s="185"/>
      <c r="P32" s="185"/>
      <c r="Q32" s="185"/>
      <c r="R32" s="186"/>
      <c r="S32" s="192">
        <f>20000*S10</f>
        <v>18378.378378378377</v>
      </c>
      <c r="T32" s="185"/>
      <c r="U32" s="185"/>
      <c r="V32" s="185"/>
      <c r="W32" s="186"/>
      <c r="X32" s="192">
        <f>20000*X10</f>
        <v>18378.37837837838</v>
      </c>
      <c r="Y32" s="185"/>
      <c r="Z32" s="185"/>
      <c r="AA32" s="186"/>
      <c r="AB32" s="192">
        <f>30000*AB10</f>
        <v>27567.567567567567</v>
      </c>
      <c r="AC32" s="185"/>
      <c r="AD32" s="185"/>
      <c r="AE32" s="186"/>
      <c r="AF32" s="192">
        <f>35000*AF10</f>
        <v>32162.16216216216</v>
      </c>
      <c r="AG32" s="185"/>
      <c r="AH32" s="185"/>
      <c r="AI32" s="186"/>
      <c r="AJ32" s="192">
        <f>AJ10*25000</f>
        <v>22972.97297297297</v>
      </c>
      <c r="AK32" s="185"/>
      <c r="AL32" s="185"/>
      <c r="AM32" s="185"/>
      <c r="AN32" s="186"/>
      <c r="AO32" s="194">
        <f>AO10*5000</f>
        <v>4594.594594594595</v>
      </c>
      <c r="AP32" s="192">
        <f>30000*AP10</f>
        <v>27567.56756756757</v>
      </c>
      <c r="AQ32" s="185"/>
      <c r="AR32" s="185"/>
      <c r="AS32" s="186"/>
      <c r="AT32" s="192">
        <f>15000*AT10</f>
        <v>13783.783783783785</v>
      </c>
      <c r="AU32" s="185"/>
      <c r="AV32" s="185"/>
      <c r="AW32" s="185"/>
      <c r="AX32" s="186"/>
      <c r="AY32" s="194">
        <f>5000*AY10</f>
        <v>4594.594594594595</v>
      </c>
      <c r="AZ32" s="192">
        <f>15000*AZ10</f>
        <v>13783.783783783785</v>
      </c>
      <c r="BA32" s="185"/>
      <c r="BB32" s="186"/>
      <c r="BC32" s="192">
        <f>15000*BC10</f>
        <v>13783.783783783785</v>
      </c>
      <c r="BD32" s="185"/>
      <c r="BE32" s="185"/>
      <c r="BF32" s="186"/>
      <c r="BG32" s="100"/>
      <c r="BH32" s="28">
        <f t="shared" si="7"/>
        <v>241675.67567567565</v>
      </c>
      <c r="BI32" s="29">
        <f t="shared" si="9"/>
        <v>6.7811836731326264E-2</v>
      </c>
      <c r="BJ32" s="100"/>
      <c r="BK32" s="100"/>
      <c r="BL32" s="111"/>
      <c r="BM32" s="111"/>
      <c r="BN32" s="100"/>
      <c r="BO32" s="192">
        <v>7983.55</v>
      </c>
      <c r="BP32" s="185"/>
      <c r="BQ32" s="185"/>
      <c r="BR32" s="186"/>
      <c r="BS32" s="192">
        <v>13779.87</v>
      </c>
      <c r="BT32" s="185"/>
      <c r="BU32" s="185"/>
      <c r="BV32" s="185"/>
      <c r="BW32" s="186"/>
      <c r="BX32" s="192">
        <v>31280.76</v>
      </c>
      <c r="BY32" s="185"/>
      <c r="BZ32" s="185"/>
      <c r="CA32" s="185"/>
      <c r="CB32" s="186"/>
      <c r="CC32" s="192">
        <v>22946.28</v>
      </c>
      <c r="CD32" s="185"/>
      <c r="CE32" s="185"/>
      <c r="CF32" s="185"/>
      <c r="CG32" s="186"/>
      <c r="CH32" s="192">
        <v>28985.61</v>
      </c>
      <c r="CI32" s="185"/>
      <c r="CJ32" s="185"/>
      <c r="CK32" s="186"/>
      <c r="CL32" s="192">
        <v>43984.83</v>
      </c>
      <c r="CM32" s="185"/>
      <c r="CN32" s="185"/>
      <c r="CO32" s="186"/>
      <c r="CP32" s="192">
        <v>39316.480000000003</v>
      </c>
      <c r="CQ32" s="185"/>
      <c r="CR32" s="185"/>
      <c r="CS32" s="186"/>
      <c r="CT32" s="192">
        <v>28227.25</v>
      </c>
      <c r="CU32" s="185"/>
      <c r="CV32" s="185"/>
      <c r="CW32" s="185"/>
      <c r="CX32" s="186"/>
      <c r="CY32" s="194">
        <f>33781.65*0.4</f>
        <v>13512.660000000002</v>
      </c>
      <c r="CZ32" s="192">
        <f>33781.65*0.6</f>
        <v>20268.990000000002</v>
      </c>
      <c r="DA32" s="185"/>
      <c r="DB32" s="185"/>
      <c r="DC32" s="186"/>
      <c r="DD32" s="192">
        <v>33443.99</v>
      </c>
      <c r="DE32" s="185"/>
      <c r="DF32" s="185"/>
      <c r="DG32" s="185"/>
      <c r="DH32" s="186"/>
      <c r="DI32" s="194">
        <v>0</v>
      </c>
      <c r="DJ32" s="192">
        <v>16005.63</v>
      </c>
      <c r="DK32" s="185"/>
      <c r="DL32" s="186"/>
      <c r="DM32" s="192">
        <v>7000</v>
      </c>
      <c r="DN32" s="185"/>
      <c r="DO32" s="185"/>
      <c r="DP32" s="186"/>
      <c r="DQ32" s="100"/>
      <c r="DR32" s="100"/>
      <c r="DS32" s="100"/>
      <c r="DT32" s="27"/>
      <c r="DU32" s="28">
        <f>SUM(BO32:DP32)</f>
        <v>306735.90000000002</v>
      </c>
      <c r="DV32" s="29">
        <f t="shared" si="10"/>
        <v>8.6067100928891499E-2</v>
      </c>
      <c r="DW32" s="107">
        <f>DU32-(BH32+BH33)</f>
        <v>-17642.47837837832</v>
      </c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Z32" s="28">
        <v>217902.63374999998</v>
      </c>
      <c r="FA32" s="29">
        <v>5.6845301533909036E-2</v>
      </c>
      <c r="FB32" s="28">
        <v>45097.366250000021</v>
      </c>
      <c r="FC32" s="30">
        <v>0.20696108841777608</v>
      </c>
      <c r="FD32" s="31"/>
      <c r="FE32" s="28">
        <v>170000</v>
      </c>
      <c r="FF32" s="31"/>
      <c r="FG32" s="31"/>
      <c r="FH32" s="31"/>
    </row>
    <row r="33" spans="1:167" ht="15" thickBot="1">
      <c r="A33" s="47"/>
      <c r="B33" s="47"/>
      <c r="C33" s="47"/>
      <c r="D33" s="52" t="s">
        <v>64</v>
      </c>
      <c r="E33" s="192">
        <v>0</v>
      </c>
      <c r="F33" s="185"/>
      <c r="G33" s="185"/>
      <c r="H33" s="186"/>
      <c r="I33" s="192">
        <v>0</v>
      </c>
      <c r="J33" s="185"/>
      <c r="K33" s="185"/>
      <c r="L33" s="185"/>
      <c r="M33" s="186"/>
      <c r="N33" s="192">
        <v>0</v>
      </c>
      <c r="O33" s="185"/>
      <c r="P33" s="185"/>
      <c r="Q33" s="185"/>
      <c r="R33" s="186"/>
      <c r="S33" s="192">
        <f>10000*S10</f>
        <v>9189.1891891891883</v>
      </c>
      <c r="T33" s="185"/>
      <c r="U33" s="185"/>
      <c r="V33" s="185"/>
      <c r="W33" s="186"/>
      <c r="X33" s="192">
        <f>10000*X10</f>
        <v>9189.1891891891901</v>
      </c>
      <c r="Y33" s="185"/>
      <c r="Z33" s="185"/>
      <c r="AA33" s="186"/>
      <c r="AB33" s="192">
        <f>10000*AB10</f>
        <v>9189.1891891891883</v>
      </c>
      <c r="AC33" s="185"/>
      <c r="AD33" s="185"/>
      <c r="AE33" s="186"/>
      <c r="AF33" s="192">
        <f>10000*AF10</f>
        <v>9189.1891891891883</v>
      </c>
      <c r="AG33" s="185"/>
      <c r="AH33" s="185"/>
      <c r="AI33" s="186"/>
      <c r="AJ33" s="192">
        <f>10000*AJ10</f>
        <v>9189.1891891891883</v>
      </c>
      <c r="AK33" s="185"/>
      <c r="AL33" s="185"/>
      <c r="AM33" s="185"/>
      <c r="AN33" s="186"/>
      <c r="AO33" s="194">
        <v>0</v>
      </c>
      <c r="AP33" s="192">
        <f>10000*AP10</f>
        <v>9189.1891891891901</v>
      </c>
      <c r="AQ33" s="185"/>
      <c r="AR33" s="185"/>
      <c r="AS33" s="186"/>
      <c r="AT33" s="192">
        <f>10000*AT10</f>
        <v>9189.1891891891901</v>
      </c>
      <c r="AU33" s="185"/>
      <c r="AV33" s="185"/>
      <c r="AW33" s="185"/>
      <c r="AX33" s="186"/>
      <c r="AY33" s="194">
        <v>0</v>
      </c>
      <c r="AZ33" s="192">
        <f>10000*AZ10</f>
        <v>9189.1891891891901</v>
      </c>
      <c r="BA33" s="185"/>
      <c r="BB33" s="186"/>
      <c r="BC33" s="192">
        <f>10000*BC10</f>
        <v>9189.1891891891901</v>
      </c>
      <c r="BD33" s="185"/>
      <c r="BE33" s="185"/>
      <c r="BF33" s="186"/>
      <c r="BG33" s="100"/>
      <c r="BH33" s="28">
        <f t="shared" si="7"/>
        <v>82702.702702702692</v>
      </c>
      <c r="BI33" s="29">
        <f t="shared" si="9"/>
        <v>2.3205571505016592E-2</v>
      </c>
      <c r="BJ33" s="100"/>
      <c r="BK33" s="100"/>
      <c r="BL33" s="111"/>
      <c r="BM33" s="111"/>
      <c r="BN33" s="100"/>
      <c r="BO33" s="192">
        <v>0</v>
      </c>
      <c r="BP33" s="185"/>
      <c r="BQ33" s="185"/>
      <c r="BR33" s="186"/>
      <c r="BS33" s="192">
        <v>0</v>
      </c>
      <c r="BT33" s="185"/>
      <c r="BU33" s="185"/>
      <c r="BV33" s="185"/>
      <c r="BW33" s="186"/>
      <c r="BX33" s="192">
        <v>0</v>
      </c>
      <c r="BY33" s="185"/>
      <c r="BZ33" s="185"/>
      <c r="CA33" s="185"/>
      <c r="CB33" s="186"/>
      <c r="CC33" s="192">
        <v>0</v>
      </c>
      <c r="CD33" s="185"/>
      <c r="CE33" s="185"/>
      <c r="CF33" s="185"/>
      <c r="CG33" s="186"/>
      <c r="CH33" s="192">
        <v>0</v>
      </c>
      <c r="CI33" s="185"/>
      <c r="CJ33" s="185"/>
      <c r="CK33" s="186"/>
      <c r="CL33" s="192">
        <v>0</v>
      </c>
      <c r="CM33" s="185"/>
      <c r="CN33" s="185"/>
      <c r="CO33" s="186"/>
      <c r="CP33" s="192">
        <v>0</v>
      </c>
      <c r="CQ33" s="185"/>
      <c r="CR33" s="185"/>
      <c r="CS33" s="186"/>
      <c r="CT33" s="192">
        <v>0</v>
      </c>
      <c r="CU33" s="185"/>
      <c r="CV33" s="185"/>
      <c r="CW33" s="185"/>
      <c r="CX33" s="186"/>
      <c r="CY33" s="194">
        <v>0</v>
      </c>
      <c r="CZ33" s="192">
        <v>0</v>
      </c>
      <c r="DA33" s="185"/>
      <c r="DB33" s="185"/>
      <c r="DC33" s="186"/>
      <c r="DD33" s="192">
        <v>0</v>
      </c>
      <c r="DE33" s="185"/>
      <c r="DF33" s="185"/>
      <c r="DG33" s="185"/>
      <c r="DH33" s="186"/>
      <c r="DI33" s="194">
        <v>0</v>
      </c>
      <c r="DJ33" s="192">
        <v>0</v>
      </c>
      <c r="DK33" s="185"/>
      <c r="DL33" s="186"/>
      <c r="DM33" s="192">
        <v>0</v>
      </c>
      <c r="DN33" s="185"/>
      <c r="DO33" s="185"/>
      <c r="DP33" s="186"/>
      <c r="DQ33" s="100"/>
      <c r="DR33" s="100"/>
      <c r="DS33" s="100"/>
      <c r="DT33" s="27"/>
      <c r="DU33" s="28">
        <f>SUM(BO33:DP33)</f>
        <v>0</v>
      </c>
      <c r="DV33" s="29">
        <f t="shared" si="10"/>
        <v>0</v>
      </c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97"/>
      <c r="EQ33" s="97"/>
      <c r="ER33" s="97"/>
      <c r="ES33" s="97"/>
      <c r="ET33" s="97"/>
      <c r="EU33" s="97"/>
      <c r="EV33" s="97"/>
      <c r="EW33" s="97"/>
      <c r="EX33" s="97"/>
      <c r="EZ33" s="28"/>
      <c r="FA33" s="29"/>
      <c r="FB33" s="28"/>
      <c r="FC33" s="30"/>
      <c r="FD33" s="31"/>
      <c r="FE33" s="28"/>
      <c r="FF33" s="31"/>
      <c r="FG33" s="31"/>
      <c r="FH33" s="31"/>
    </row>
    <row r="34" spans="1:167" ht="15" thickBot="1">
      <c r="A34" s="47"/>
      <c r="B34" s="47"/>
      <c r="C34" s="47"/>
      <c r="D34" s="26" t="s">
        <v>65</v>
      </c>
      <c r="E34" s="192">
        <v>0</v>
      </c>
      <c r="F34" s="185"/>
      <c r="G34" s="185"/>
      <c r="H34" s="186"/>
      <c r="I34" s="192">
        <v>0</v>
      </c>
      <c r="J34" s="185"/>
      <c r="K34" s="185"/>
      <c r="L34" s="185"/>
      <c r="M34" s="186"/>
      <c r="N34" s="192">
        <v>0</v>
      </c>
      <c r="O34" s="185"/>
      <c r="P34" s="185"/>
      <c r="Q34" s="185"/>
      <c r="R34" s="186"/>
      <c r="S34" s="192">
        <v>0</v>
      </c>
      <c r="T34" s="185"/>
      <c r="U34" s="185"/>
      <c r="V34" s="185"/>
      <c r="W34" s="186"/>
      <c r="X34" s="192">
        <v>0</v>
      </c>
      <c r="Y34" s="185"/>
      <c r="Z34" s="185"/>
      <c r="AA34" s="186"/>
      <c r="AB34" s="192">
        <v>0</v>
      </c>
      <c r="AC34" s="185"/>
      <c r="AD34" s="185"/>
      <c r="AE34" s="186"/>
      <c r="AF34" s="192">
        <v>0</v>
      </c>
      <c r="AG34" s="185"/>
      <c r="AH34" s="185"/>
      <c r="AI34" s="186"/>
      <c r="AJ34" s="192">
        <v>0</v>
      </c>
      <c r="AK34" s="185"/>
      <c r="AL34" s="185"/>
      <c r="AM34" s="185"/>
      <c r="AN34" s="186"/>
      <c r="AO34" s="194">
        <v>0</v>
      </c>
      <c r="AP34" s="192">
        <v>0</v>
      </c>
      <c r="AQ34" s="185"/>
      <c r="AR34" s="185"/>
      <c r="AS34" s="186"/>
      <c r="AT34" s="192">
        <v>0</v>
      </c>
      <c r="AU34" s="185"/>
      <c r="AV34" s="185"/>
      <c r="AW34" s="185"/>
      <c r="AX34" s="186"/>
      <c r="AY34" s="194">
        <v>0</v>
      </c>
      <c r="AZ34" s="192">
        <v>0</v>
      </c>
      <c r="BA34" s="185"/>
      <c r="BB34" s="186"/>
      <c r="BC34" s="192">
        <v>0</v>
      </c>
      <c r="BD34" s="185"/>
      <c r="BE34" s="185"/>
      <c r="BF34" s="186"/>
      <c r="BG34" s="100"/>
      <c r="BH34" s="28">
        <f t="shared" si="7"/>
        <v>0</v>
      </c>
      <c r="BI34" s="29">
        <f t="shared" si="9"/>
        <v>0</v>
      </c>
      <c r="BJ34" s="100"/>
      <c r="BK34" s="100"/>
      <c r="BL34" s="111"/>
      <c r="BM34" s="111"/>
      <c r="BN34" s="100"/>
      <c r="BO34" s="192">
        <v>0</v>
      </c>
      <c r="BP34" s="185"/>
      <c r="BQ34" s="185"/>
      <c r="BR34" s="186"/>
      <c r="BS34" s="192">
        <v>0</v>
      </c>
      <c r="BT34" s="185"/>
      <c r="BU34" s="185"/>
      <c r="BV34" s="185"/>
      <c r="BW34" s="186"/>
      <c r="BX34" s="192">
        <v>0</v>
      </c>
      <c r="BY34" s="185"/>
      <c r="BZ34" s="185"/>
      <c r="CA34" s="185"/>
      <c r="CB34" s="186"/>
      <c r="CC34" s="192">
        <v>0</v>
      </c>
      <c r="CD34" s="185"/>
      <c r="CE34" s="185"/>
      <c r="CF34" s="185"/>
      <c r="CG34" s="186"/>
      <c r="CH34" s="192">
        <v>0</v>
      </c>
      <c r="CI34" s="185"/>
      <c r="CJ34" s="185"/>
      <c r="CK34" s="186"/>
      <c r="CL34" s="192">
        <v>0</v>
      </c>
      <c r="CM34" s="185"/>
      <c r="CN34" s="185"/>
      <c r="CO34" s="186"/>
      <c r="CP34" s="192">
        <v>0</v>
      </c>
      <c r="CQ34" s="185"/>
      <c r="CR34" s="185"/>
      <c r="CS34" s="186"/>
      <c r="CT34" s="192">
        <v>0</v>
      </c>
      <c r="CU34" s="185"/>
      <c r="CV34" s="185"/>
      <c r="CW34" s="185"/>
      <c r="CX34" s="186"/>
      <c r="CY34" s="194">
        <v>0</v>
      </c>
      <c r="CZ34" s="192">
        <v>0</v>
      </c>
      <c r="DA34" s="185"/>
      <c r="DB34" s="185"/>
      <c r="DC34" s="186"/>
      <c r="DD34" s="192">
        <v>0</v>
      </c>
      <c r="DE34" s="185"/>
      <c r="DF34" s="185"/>
      <c r="DG34" s="185"/>
      <c r="DH34" s="186"/>
      <c r="DI34" s="194">
        <v>0</v>
      </c>
      <c r="DJ34" s="192">
        <v>0</v>
      </c>
      <c r="DK34" s="185"/>
      <c r="DL34" s="186"/>
      <c r="DM34" s="192">
        <v>0</v>
      </c>
      <c r="DN34" s="185"/>
      <c r="DO34" s="185"/>
      <c r="DP34" s="186"/>
      <c r="DQ34" s="100"/>
      <c r="DR34" s="100"/>
      <c r="DS34" s="100"/>
      <c r="DT34" s="27"/>
      <c r="DU34" s="28">
        <f t="shared" ref="DU34:DU35" si="11">BC34+AZ34+AY34+AT34+AP34+AO34+AJ34+AF34+AB34+X34+S34+N34+I34+E34</f>
        <v>0</v>
      </c>
      <c r="DV34" s="29">
        <f t="shared" si="10"/>
        <v>0</v>
      </c>
      <c r="DW34" s="107">
        <f>DU34-BH34</f>
        <v>0</v>
      </c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Z34" s="28">
        <v>77261.329999999987</v>
      </c>
      <c r="FA34" s="29">
        <v>2.0155532428303435E-2</v>
      </c>
      <c r="FB34" s="28">
        <v>-77261.329999999987</v>
      </c>
      <c r="FC34" s="30">
        <v>-1</v>
      </c>
      <c r="FD34" s="31"/>
      <c r="FE34" s="28">
        <v>50000</v>
      </c>
      <c r="FF34" s="31"/>
      <c r="FG34" s="31"/>
      <c r="FH34" s="31"/>
    </row>
    <row r="35" spans="1:167" ht="15" thickBot="1">
      <c r="A35" s="49"/>
      <c r="B35" s="49"/>
      <c r="C35" s="49"/>
      <c r="D35" s="26" t="s">
        <v>66</v>
      </c>
      <c r="E35" s="192">
        <v>0</v>
      </c>
      <c r="F35" s="185"/>
      <c r="G35" s="185"/>
      <c r="H35" s="186"/>
      <c r="I35" s="192">
        <v>0</v>
      </c>
      <c r="J35" s="185"/>
      <c r="K35" s="185"/>
      <c r="L35" s="185"/>
      <c r="M35" s="186"/>
      <c r="N35" s="192">
        <v>0</v>
      </c>
      <c r="O35" s="185"/>
      <c r="P35" s="185"/>
      <c r="Q35" s="185"/>
      <c r="R35" s="186"/>
      <c r="S35" s="192">
        <v>0</v>
      </c>
      <c r="T35" s="185"/>
      <c r="U35" s="185"/>
      <c r="V35" s="185"/>
      <c r="W35" s="186"/>
      <c r="X35" s="192">
        <v>0</v>
      </c>
      <c r="Y35" s="185"/>
      <c r="Z35" s="185"/>
      <c r="AA35" s="186"/>
      <c r="AB35" s="192">
        <v>0</v>
      </c>
      <c r="AC35" s="185"/>
      <c r="AD35" s="185"/>
      <c r="AE35" s="186"/>
      <c r="AF35" s="192">
        <v>0</v>
      </c>
      <c r="AG35" s="185"/>
      <c r="AH35" s="185"/>
      <c r="AI35" s="186"/>
      <c r="AJ35" s="192">
        <v>0</v>
      </c>
      <c r="AK35" s="185"/>
      <c r="AL35" s="185"/>
      <c r="AM35" s="185"/>
      <c r="AN35" s="186"/>
      <c r="AO35" s="194">
        <v>0</v>
      </c>
      <c r="AP35" s="192">
        <v>0</v>
      </c>
      <c r="AQ35" s="185"/>
      <c r="AR35" s="185"/>
      <c r="AS35" s="186"/>
      <c r="AT35" s="192">
        <v>0</v>
      </c>
      <c r="AU35" s="185"/>
      <c r="AV35" s="185"/>
      <c r="AW35" s="185"/>
      <c r="AX35" s="186"/>
      <c r="AY35" s="194">
        <v>0</v>
      </c>
      <c r="AZ35" s="192">
        <v>0</v>
      </c>
      <c r="BA35" s="185"/>
      <c r="BB35" s="186"/>
      <c r="BC35" s="192">
        <v>0</v>
      </c>
      <c r="BD35" s="185"/>
      <c r="BE35" s="185"/>
      <c r="BF35" s="186"/>
      <c r="BG35" s="100"/>
      <c r="BH35" s="28">
        <f t="shared" si="7"/>
        <v>0</v>
      </c>
      <c r="BI35" s="29">
        <f t="shared" si="9"/>
        <v>0</v>
      </c>
      <c r="BJ35" s="100"/>
      <c r="BK35" s="100"/>
      <c r="BL35" s="111"/>
      <c r="BM35" s="111"/>
      <c r="BN35" s="100"/>
      <c r="BO35" s="192">
        <v>0</v>
      </c>
      <c r="BP35" s="185"/>
      <c r="BQ35" s="185"/>
      <c r="BR35" s="186"/>
      <c r="BS35" s="192">
        <v>0</v>
      </c>
      <c r="BT35" s="185"/>
      <c r="BU35" s="185"/>
      <c r="BV35" s="185"/>
      <c r="BW35" s="186"/>
      <c r="BX35" s="192">
        <v>0</v>
      </c>
      <c r="BY35" s="185"/>
      <c r="BZ35" s="185"/>
      <c r="CA35" s="185"/>
      <c r="CB35" s="186"/>
      <c r="CC35" s="192">
        <v>0</v>
      </c>
      <c r="CD35" s="185"/>
      <c r="CE35" s="185"/>
      <c r="CF35" s="185"/>
      <c r="CG35" s="186"/>
      <c r="CH35" s="192">
        <v>0</v>
      </c>
      <c r="CI35" s="185"/>
      <c r="CJ35" s="185"/>
      <c r="CK35" s="186"/>
      <c r="CL35" s="192">
        <v>0</v>
      </c>
      <c r="CM35" s="185"/>
      <c r="CN35" s="185"/>
      <c r="CO35" s="186"/>
      <c r="CP35" s="192">
        <v>0</v>
      </c>
      <c r="CQ35" s="185"/>
      <c r="CR35" s="185"/>
      <c r="CS35" s="186"/>
      <c r="CT35" s="192">
        <v>0</v>
      </c>
      <c r="CU35" s="185"/>
      <c r="CV35" s="185"/>
      <c r="CW35" s="185"/>
      <c r="CX35" s="186"/>
      <c r="CY35" s="194">
        <v>0</v>
      </c>
      <c r="CZ35" s="192">
        <v>0</v>
      </c>
      <c r="DA35" s="185"/>
      <c r="DB35" s="185"/>
      <c r="DC35" s="186"/>
      <c r="DD35" s="192">
        <v>0</v>
      </c>
      <c r="DE35" s="185"/>
      <c r="DF35" s="185"/>
      <c r="DG35" s="185"/>
      <c r="DH35" s="186"/>
      <c r="DI35" s="194">
        <v>0</v>
      </c>
      <c r="DJ35" s="192">
        <v>0</v>
      </c>
      <c r="DK35" s="185"/>
      <c r="DL35" s="186"/>
      <c r="DM35" s="192">
        <v>0</v>
      </c>
      <c r="DN35" s="185"/>
      <c r="DO35" s="185"/>
      <c r="DP35" s="186"/>
      <c r="DQ35" s="100"/>
      <c r="DR35" s="100"/>
      <c r="DS35" s="100"/>
      <c r="DT35" s="27"/>
      <c r="DU35" s="28">
        <f t="shared" si="11"/>
        <v>0</v>
      </c>
      <c r="DV35" s="29">
        <f t="shared" si="10"/>
        <v>0</v>
      </c>
      <c r="DW35" s="107">
        <f>DU35-BH35</f>
        <v>0</v>
      </c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7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Z35" s="28">
        <v>2122.09</v>
      </c>
      <c r="FA35" s="29">
        <v>5.5359976084774169E-4</v>
      </c>
      <c r="FB35" s="28">
        <v>-2122.09</v>
      </c>
      <c r="FC35" s="30">
        <v>-1</v>
      </c>
      <c r="FD35" s="31"/>
      <c r="FE35" s="28">
        <v>30000</v>
      </c>
      <c r="FF35" s="31"/>
      <c r="FG35" s="31"/>
      <c r="FH35" s="31"/>
    </row>
    <row r="36" spans="1:167" ht="32.25" customHeight="1" thickBot="1">
      <c r="A36" s="42"/>
      <c r="B36" s="42"/>
      <c r="C36" s="42"/>
      <c r="D36" s="43" t="s">
        <v>67</v>
      </c>
      <c r="E36" s="200">
        <f>E23+E24+E25+E30+E31+E32+E33+E34+E35+E29</f>
        <v>53940.540540540533</v>
      </c>
      <c r="F36" s="185"/>
      <c r="G36" s="185"/>
      <c r="H36" s="186"/>
      <c r="I36" s="200">
        <f>I23+I24+I25+I30+I31+I32+I33+I34+I35+I29</f>
        <v>41351.351351351346</v>
      </c>
      <c r="J36" s="185"/>
      <c r="K36" s="185"/>
      <c r="L36" s="185"/>
      <c r="M36" s="186"/>
      <c r="N36" s="200">
        <f>N23+N24+N25+N30+N31+N32+N33+N34+N35+N29</f>
        <v>96135.135135135119</v>
      </c>
      <c r="O36" s="185"/>
      <c r="P36" s="185"/>
      <c r="Q36" s="185"/>
      <c r="R36" s="186"/>
      <c r="S36" s="200">
        <f>S23+S24+S25+S30+S31+S32+S33+S34+S35+S29</f>
        <v>106243.24324324323</v>
      </c>
      <c r="T36" s="185"/>
      <c r="U36" s="185"/>
      <c r="V36" s="185"/>
      <c r="W36" s="186"/>
      <c r="X36" s="200">
        <f>X23+X24+X25+X30+X31+X32+X33+X34+X35+X29</f>
        <v>115416.21621621621</v>
      </c>
      <c r="Y36" s="185"/>
      <c r="Z36" s="185"/>
      <c r="AA36" s="186"/>
      <c r="AB36" s="200">
        <f>AB23+AB24+AB25+AB30+AB31+AB32+AB33+AB34+AB35+AB29</f>
        <v>206481.08108108107</v>
      </c>
      <c r="AC36" s="185"/>
      <c r="AD36" s="185"/>
      <c r="AE36" s="186"/>
      <c r="AF36" s="200">
        <f>AF23+AF24+AF25+AF30+AF31+AF32+AF33+AF34+AF35+AF29</f>
        <v>211075.67567567568</v>
      </c>
      <c r="AG36" s="185"/>
      <c r="AH36" s="185"/>
      <c r="AI36" s="186"/>
      <c r="AJ36" s="200">
        <f>AJ23+AJ24+AJ25+AJ30+AJ31+AJ32+AJ33+AJ34+AJ35+AJ29</f>
        <v>105491.89189189188</v>
      </c>
      <c r="AK36" s="185"/>
      <c r="AL36" s="185"/>
      <c r="AM36" s="185"/>
      <c r="AN36" s="186"/>
      <c r="AO36" s="53">
        <f>AO23+AO24+AO25+AO30+AO31+AO32+AO33+AO34+AO29</f>
        <v>15621.621621621622</v>
      </c>
      <c r="AP36" s="200">
        <f>AP23+AP24+AP25+AP30+AP31+AP32+AP33+AP34+AP35+AP29</f>
        <v>179648.64864864867</v>
      </c>
      <c r="AQ36" s="185"/>
      <c r="AR36" s="185"/>
      <c r="AS36" s="186"/>
      <c r="AT36" s="200">
        <f>AT23+AT24+AT25+AT30+AT31+AT32+AT33+AT34+AT35+AT29</f>
        <v>76729.729729729734</v>
      </c>
      <c r="AU36" s="185"/>
      <c r="AV36" s="185"/>
      <c r="AW36" s="185"/>
      <c r="AX36" s="186"/>
      <c r="AY36" s="53">
        <f>AY23+AY24+AY25+AY31+AY32+AY33+AY34+AY35+AY30+AY29</f>
        <v>11027.027027027028</v>
      </c>
      <c r="AZ36" s="200">
        <f>AZ23+AZ24+AZ25+AZ30+AZ31+AZ32+AZ33+AZ34+AZ35+AZ29</f>
        <v>93178.378378378387</v>
      </c>
      <c r="BA36" s="185"/>
      <c r="BB36" s="186"/>
      <c r="BC36" s="200">
        <f>BC23+BC24+BC25+BC30+BC31+BC32+BC33+BC34+BC35+BC29</f>
        <v>65610.810810810814</v>
      </c>
      <c r="BD36" s="185"/>
      <c r="BE36" s="185"/>
      <c r="BF36" s="186"/>
      <c r="BG36" s="100"/>
      <c r="BH36" s="28">
        <f>BH23+BH24+BH25+BH30+BH31+BH32+BH33+BH34+BH35+BH29</f>
        <v>1377951.3513513515</v>
      </c>
      <c r="BI36" s="29">
        <f t="shared" si="9"/>
        <v>0.38663970546603504</v>
      </c>
      <c r="BJ36" s="100"/>
      <c r="BK36" s="100"/>
      <c r="BL36" s="111"/>
      <c r="BM36" s="111"/>
      <c r="BN36" s="100"/>
      <c r="BO36" s="200">
        <f>BO23+BO24+BO25+BO30+BO31+BO32+BO33+BO34+BO35+BO29</f>
        <v>35776.840000000004</v>
      </c>
      <c r="BP36" s="185"/>
      <c r="BQ36" s="185"/>
      <c r="BR36" s="186"/>
      <c r="BS36" s="200">
        <f>BS23+BS24+BS25+BS30+BS31+BS32+BS33+BS34+BS35+BS29</f>
        <v>47530.9</v>
      </c>
      <c r="BT36" s="185"/>
      <c r="BU36" s="185"/>
      <c r="BV36" s="185"/>
      <c r="BW36" s="186"/>
      <c r="BX36" s="200">
        <f>BX23+BX24+BX25+BX30+BX31+BX32+BX33+BX34+BX35+BX29</f>
        <v>91516.76</v>
      </c>
      <c r="BY36" s="185"/>
      <c r="BZ36" s="185"/>
      <c r="CA36" s="185"/>
      <c r="CB36" s="186"/>
      <c r="CC36" s="200">
        <f>CC23+CC24+CC25+CC30+CC31+CC32+CC33+CC34+CC35+CC29</f>
        <v>103146.26999999999</v>
      </c>
      <c r="CD36" s="185"/>
      <c r="CE36" s="185"/>
      <c r="CF36" s="185"/>
      <c r="CG36" s="186"/>
      <c r="CH36" s="200">
        <f>CH23+CH24+CH25+CH30+CH31+CH32+CH33+CH34+CH35+CH29</f>
        <v>133681.89000000001</v>
      </c>
      <c r="CI36" s="185"/>
      <c r="CJ36" s="185"/>
      <c r="CK36" s="186"/>
      <c r="CL36" s="200">
        <f>CL23+CL24+CL25+CL30+CL31+CL32+CL33+CL34+CL35+CL29</f>
        <v>189777.22</v>
      </c>
      <c r="CM36" s="185"/>
      <c r="CN36" s="185"/>
      <c r="CO36" s="186"/>
      <c r="CP36" s="200">
        <f>CP23+CP24+CP25+CP30+CP31+CP32+CP33+CP34+CP35+CP29</f>
        <v>208049.83</v>
      </c>
      <c r="CQ36" s="185"/>
      <c r="CR36" s="185"/>
      <c r="CS36" s="186"/>
      <c r="CT36" s="200">
        <f>CT23+CT24+CT25+CT30+CT31+CT32+CT33+CT34+CT35+CT29</f>
        <v>133860.43</v>
      </c>
      <c r="CU36" s="185"/>
      <c r="CV36" s="185"/>
      <c r="CW36" s="185"/>
      <c r="CX36" s="186"/>
      <c r="CY36" s="53">
        <f>CY23+CY24+CY25+CY30+CY31+CY32+CY33+CY34+CY29</f>
        <v>34323.686666666668</v>
      </c>
      <c r="CZ36" s="200">
        <f>CZ23+CZ24+CZ25+CZ30+CZ31+CZ32+CZ33+CZ34+CZ35+CZ29</f>
        <v>110634.45333333335</v>
      </c>
      <c r="DA36" s="185"/>
      <c r="DB36" s="185"/>
      <c r="DC36" s="186"/>
      <c r="DD36" s="200">
        <f>DD23+DD24+DD25+DD30+DD31+DD32+DD33+DD34+DD35+DD29</f>
        <v>148655.78999999998</v>
      </c>
      <c r="DE36" s="185"/>
      <c r="DF36" s="185"/>
      <c r="DG36" s="185"/>
      <c r="DH36" s="186"/>
      <c r="DI36" s="53">
        <f>DI23+DI24+DI25+DI31+DI32+DI33+DI34+DI35+DI30+DI29</f>
        <v>0</v>
      </c>
      <c r="DJ36" s="200">
        <f>DJ23+DJ24+DJ25+DJ30+DJ31+DJ32+DJ33+DJ34+DJ35+DJ29</f>
        <v>74518.5</v>
      </c>
      <c r="DK36" s="185"/>
      <c r="DL36" s="186"/>
      <c r="DM36" s="200">
        <f>DM23+DM24+DM25+DM30+DM31+DM32+DM33+DM34+DM35+DM29</f>
        <v>23181.74</v>
      </c>
      <c r="DN36" s="185"/>
      <c r="DO36" s="185"/>
      <c r="DP36" s="186"/>
      <c r="DQ36" s="100"/>
      <c r="DR36" s="100"/>
      <c r="DS36" s="100"/>
      <c r="DT36" s="27"/>
      <c r="DU36" s="28">
        <f>DU23+DU24+DU25+DU30+DU31+DU32+DU33+DU34+DU35+DU29</f>
        <v>1334654.31</v>
      </c>
      <c r="DV36" s="29">
        <f t="shared" si="10"/>
        <v>0.37449097808228521</v>
      </c>
      <c r="DW36" s="108">
        <f>DU36-BH36</f>
        <v>-43297.041351351421</v>
      </c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7"/>
      <c r="EL36" s="97"/>
      <c r="EM36" s="97"/>
      <c r="EN36" s="97"/>
      <c r="EO36" s="97"/>
      <c r="EP36" s="97"/>
      <c r="EQ36" s="97"/>
      <c r="ER36" s="97"/>
      <c r="ES36" s="97"/>
      <c r="ET36" s="97"/>
      <c r="EU36" s="97"/>
      <c r="EV36" s="97"/>
      <c r="EW36" s="97"/>
      <c r="EX36" s="97"/>
      <c r="EY36" s="54"/>
      <c r="EZ36" s="28">
        <v>1306728.6137500003</v>
      </c>
      <c r="FA36" s="29">
        <v>0.34089253898981708</v>
      </c>
      <c r="FB36" s="28">
        <v>71471.386249999749</v>
      </c>
      <c r="FC36" s="30">
        <v>5.4694896475017775E-2</v>
      </c>
      <c r="FD36" s="31"/>
      <c r="FE36" s="28">
        <v>1239000</v>
      </c>
      <c r="FF36" s="31"/>
      <c r="FG36" s="31"/>
      <c r="FH36" s="31"/>
      <c r="FK36" s="79"/>
    </row>
    <row r="37" spans="1:167" ht="14.1" thickBot="1">
      <c r="A37" s="55"/>
      <c r="B37" s="55"/>
      <c r="C37" s="55"/>
      <c r="D37" s="55"/>
      <c r="E37" s="56"/>
      <c r="I37" s="209"/>
      <c r="J37" s="210"/>
      <c r="K37" s="210"/>
      <c r="L37" s="210"/>
      <c r="M37" s="210"/>
      <c r="N37" s="210"/>
      <c r="O37" s="210"/>
      <c r="P37" s="210"/>
      <c r="Q37" s="210"/>
      <c r="R37" s="210"/>
      <c r="BI37" s="54"/>
      <c r="BO37" s="56"/>
      <c r="BS37" s="209"/>
      <c r="BT37" s="210"/>
      <c r="BU37" s="210"/>
      <c r="BV37" s="210"/>
      <c r="BW37" s="210"/>
      <c r="BX37" s="210"/>
      <c r="BY37" s="210"/>
      <c r="BZ37" s="210"/>
      <c r="CA37" s="210"/>
      <c r="CB37" s="210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</row>
    <row r="38" spans="1:167" ht="32.25" customHeight="1" thickBot="1">
      <c r="A38" s="42"/>
      <c r="B38" s="42"/>
      <c r="C38" s="42"/>
      <c r="D38" s="87" t="s">
        <v>68</v>
      </c>
      <c r="E38" s="211">
        <f>E36+E19</f>
        <v>53940.540540540533</v>
      </c>
      <c r="F38" s="212"/>
      <c r="G38" s="212"/>
      <c r="H38" s="213"/>
      <c r="I38" s="211">
        <f>I36+I19</f>
        <v>41351.351351351346</v>
      </c>
      <c r="J38" s="212"/>
      <c r="K38" s="212"/>
      <c r="L38" s="212"/>
      <c r="M38" s="213"/>
      <c r="N38" s="211">
        <f>N36+N19</f>
        <v>96135.135135135119</v>
      </c>
      <c r="O38" s="212"/>
      <c r="P38" s="212"/>
      <c r="Q38" s="212"/>
      <c r="R38" s="213"/>
      <c r="S38" s="211">
        <f>S36+S19</f>
        <v>280837.83783783781</v>
      </c>
      <c r="T38" s="212"/>
      <c r="U38" s="212"/>
      <c r="V38" s="212"/>
      <c r="W38" s="213"/>
      <c r="X38" s="211">
        <f>X36+X19</f>
        <v>402795.46378378384</v>
      </c>
      <c r="Y38" s="212"/>
      <c r="Z38" s="212"/>
      <c r="AA38" s="213"/>
      <c r="AB38" s="211">
        <f>AB36+AB19</f>
        <v>708696.91891891882</v>
      </c>
      <c r="AC38" s="212"/>
      <c r="AD38" s="212"/>
      <c r="AE38" s="213"/>
      <c r="AF38" s="211">
        <f>AF36+AF19</f>
        <v>616692</v>
      </c>
      <c r="AG38" s="212"/>
      <c r="AH38" s="212"/>
      <c r="AI38" s="213"/>
      <c r="AJ38" s="211">
        <f>AJ36+AJ19</f>
        <v>261248.64864864864</v>
      </c>
      <c r="AK38" s="212"/>
      <c r="AL38" s="212"/>
      <c r="AM38" s="212"/>
      <c r="AN38" s="213"/>
      <c r="AO38" s="86">
        <f>AO36+AO19</f>
        <v>109351.35135135136</v>
      </c>
      <c r="AP38" s="211">
        <f>AP36+AP19</f>
        <v>373356.7567567568</v>
      </c>
      <c r="AQ38" s="212"/>
      <c r="AR38" s="212"/>
      <c r="AS38" s="213"/>
      <c r="AT38" s="211">
        <f>AT36+AT19</f>
        <v>181394.59459459462</v>
      </c>
      <c r="AU38" s="212"/>
      <c r="AV38" s="212"/>
      <c r="AW38" s="212"/>
      <c r="AX38" s="213"/>
      <c r="AY38" s="86">
        <f>AY36+AY19</f>
        <v>11027.027027027028</v>
      </c>
      <c r="AZ38" s="211">
        <f>AZ36+AZ19</f>
        <v>379835.13513513521</v>
      </c>
      <c r="BA38" s="212"/>
      <c r="BB38" s="213"/>
      <c r="BC38" s="211">
        <f>BC36+BC19</f>
        <v>65610.810810810814</v>
      </c>
      <c r="BD38" s="212"/>
      <c r="BE38" s="212"/>
      <c r="BF38" s="213"/>
      <c r="BG38" s="104"/>
      <c r="BH38" s="88">
        <f>BH36+BH19</f>
        <v>3582273.5718918918</v>
      </c>
      <c r="BI38" s="80">
        <f>BI11+BI14+BI17+BI18+BI23+BI24+BI25+BI29+BI30+BI31+BI32+BI33+BI34+BI35</f>
        <v>1.0051510144946192</v>
      </c>
      <c r="BJ38" s="100"/>
      <c r="BK38" s="100"/>
      <c r="BL38" s="111"/>
      <c r="BM38" s="111"/>
      <c r="BN38" s="100"/>
      <c r="BO38" s="211">
        <f>BO36+BO19</f>
        <v>35776.840000000004</v>
      </c>
      <c r="BP38" s="212"/>
      <c r="BQ38" s="212"/>
      <c r="BR38" s="213"/>
      <c r="BS38" s="211">
        <f>BS36+BS19</f>
        <v>47530.9</v>
      </c>
      <c r="BT38" s="212"/>
      <c r="BU38" s="212"/>
      <c r="BV38" s="212"/>
      <c r="BW38" s="213"/>
      <c r="BX38" s="211">
        <f>BX36+BX19</f>
        <v>91516.76</v>
      </c>
      <c r="BY38" s="212"/>
      <c r="BZ38" s="212"/>
      <c r="CA38" s="212"/>
      <c r="CB38" s="213"/>
      <c r="CC38" s="211">
        <f>CC36+CC19</f>
        <v>240070.5</v>
      </c>
      <c r="CD38" s="212"/>
      <c r="CE38" s="212"/>
      <c r="CF38" s="212"/>
      <c r="CG38" s="213"/>
      <c r="CH38" s="211">
        <f>CH36+CH19</f>
        <v>493909.83</v>
      </c>
      <c r="CI38" s="212"/>
      <c r="CJ38" s="212"/>
      <c r="CK38" s="213"/>
      <c r="CL38" s="211">
        <f>CL36+CL19</f>
        <v>675531.21</v>
      </c>
      <c r="CM38" s="212"/>
      <c r="CN38" s="212"/>
      <c r="CO38" s="213"/>
      <c r="CP38" s="211">
        <f>CP36+CP19</f>
        <v>599868.31999999995</v>
      </c>
      <c r="CQ38" s="212"/>
      <c r="CR38" s="212"/>
      <c r="CS38" s="213"/>
      <c r="CT38" s="211">
        <f>CT36+CT19</f>
        <v>325042.3</v>
      </c>
      <c r="CU38" s="212"/>
      <c r="CV38" s="212"/>
      <c r="CW38" s="212"/>
      <c r="CX38" s="213"/>
      <c r="CY38" s="86">
        <f>CY36+CY19</f>
        <v>119065.69466666665</v>
      </c>
      <c r="CZ38" s="211">
        <f>CZ36+CZ19</f>
        <v>289276.76533333334</v>
      </c>
      <c r="DA38" s="212"/>
      <c r="DB38" s="212"/>
      <c r="DC38" s="213"/>
      <c r="DD38" s="211">
        <f>DD36+DD19</f>
        <v>337146.16</v>
      </c>
      <c r="DE38" s="212"/>
      <c r="DF38" s="212"/>
      <c r="DG38" s="212"/>
      <c r="DH38" s="213"/>
      <c r="DI38" s="86">
        <f>DI36+DI19</f>
        <v>0</v>
      </c>
      <c r="DJ38" s="211">
        <f>DJ36+DJ19</f>
        <v>285998.77</v>
      </c>
      <c r="DK38" s="212"/>
      <c r="DL38" s="213"/>
      <c r="DM38" s="211">
        <f>DM36+DM19</f>
        <v>23181.74</v>
      </c>
      <c r="DN38" s="212"/>
      <c r="DO38" s="212"/>
      <c r="DP38" s="213"/>
      <c r="DQ38" s="100"/>
      <c r="DR38" s="100"/>
      <c r="DS38" s="100"/>
      <c r="DT38" s="27"/>
      <c r="DU38" s="88">
        <f>DU36+DU19</f>
        <v>3563915.7899999996</v>
      </c>
      <c r="DV38" s="80">
        <f>DV11+DV14+DV17+DV18+DV23+DV24+DV25+DV29+DV30+DV31+DV32+DV33+DV34+DV35</f>
        <v>1.0000000000000002</v>
      </c>
      <c r="DW38" s="88">
        <f>DW36+DW19</f>
        <v>-18357.781891892198</v>
      </c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54"/>
      <c r="EZ38" s="57">
        <v>3833256.7137500001</v>
      </c>
      <c r="FA38" s="29"/>
      <c r="FB38" s="28">
        <v>-89056.713750000112</v>
      </c>
      <c r="FC38" s="30">
        <v>-2.3232650563305913E-2</v>
      </c>
      <c r="FD38" s="31"/>
      <c r="FE38" s="54">
        <v>3749000</v>
      </c>
      <c r="FF38" s="31"/>
      <c r="FG38" s="31"/>
      <c r="FH38" s="31"/>
    </row>
    <row r="39" spans="1:167" ht="18.95" thickBot="1">
      <c r="A39" s="12"/>
      <c r="B39" s="12"/>
      <c r="C39" s="12"/>
      <c r="D39" s="43" t="s">
        <v>69</v>
      </c>
      <c r="E39" s="200">
        <v>66021.47</v>
      </c>
      <c r="F39" s="185"/>
      <c r="G39" s="185"/>
      <c r="H39" s="186"/>
      <c r="I39" s="200">
        <v>56844.67</v>
      </c>
      <c r="J39" s="185"/>
      <c r="K39" s="185"/>
      <c r="L39" s="185"/>
      <c r="M39" s="186"/>
      <c r="N39" s="200">
        <v>95152.36</v>
      </c>
      <c r="O39" s="185"/>
      <c r="P39" s="185"/>
      <c r="Q39" s="185"/>
      <c r="R39" s="186"/>
      <c r="S39" s="200">
        <v>332580.64</v>
      </c>
      <c r="T39" s="185"/>
      <c r="U39" s="185"/>
      <c r="V39" s="185"/>
      <c r="W39" s="186"/>
      <c r="X39" s="200">
        <v>276014.81000000006</v>
      </c>
      <c r="Y39" s="185"/>
      <c r="Z39" s="185"/>
      <c r="AA39" s="186"/>
      <c r="AB39" s="200">
        <v>717737.45</v>
      </c>
      <c r="AC39" s="185"/>
      <c r="AD39" s="185"/>
      <c r="AE39" s="186"/>
      <c r="AF39" s="200">
        <v>776787.92</v>
      </c>
      <c r="AG39" s="185"/>
      <c r="AH39" s="185"/>
      <c r="AI39" s="186"/>
      <c r="AJ39" s="200">
        <v>322646.64</v>
      </c>
      <c r="AK39" s="185"/>
      <c r="AL39" s="185"/>
      <c r="AM39" s="185"/>
      <c r="AN39" s="186"/>
      <c r="AO39" s="53">
        <v>109939.4925125</v>
      </c>
      <c r="AP39" s="200">
        <v>481947.88748749997</v>
      </c>
      <c r="AQ39" s="185"/>
      <c r="AR39" s="185"/>
      <c r="AS39" s="186"/>
      <c r="AT39" s="200">
        <v>166502.54999999999</v>
      </c>
      <c r="AU39" s="185"/>
      <c r="AV39" s="185"/>
      <c r="AW39" s="185"/>
      <c r="AX39" s="186"/>
      <c r="AY39" s="53">
        <v>72466.338097500004</v>
      </c>
      <c r="AZ39" s="200">
        <v>207087.6919025</v>
      </c>
      <c r="BA39" s="185"/>
      <c r="BB39" s="186"/>
      <c r="BC39" s="200">
        <v>151526.79375000001</v>
      </c>
      <c r="BD39" s="185"/>
      <c r="BE39" s="185"/>
      <c r="BF39" s="186"/>
      <c r="BG39" s="100"/>
      <c r="BH39" s="28">
        <v>3833256.7137500001</v>
      </c>
      <c r="BI39" s="54"/>
      <c r="BJ39" s="100"/>
      <c r="BK39" s="100"/>
      <c r="BL39" s="111"/>
      <c r="BM39" s="111"/>
      <c r="BN39" s="100"/>
      <c r="BO39" s="214">
        <v>66021.47</v>
      </c>
      <c r="BP39" s="187"/>
      <c r="BQ39" s="187"/>
      <c r="BR39" s="188"/>
      <c r="BS39" s="200">
        <v>56844.67</v>
      </c>
      <c r="BT39" s="185"/>
      <c r="BU39" s="185"/>
      <c r="BV39" s="185"/>
      <c r="BW39" s="186"/>
      <c r="BX39" s="200">
        <v>95152.36</v>
      </c>
      <c r="BY39" s="185"/>
      <c r="BZ39" s="185"/>
      <c r="CA39" s="185"/>
      <c r="CB39" s="186"/>
      <c r="CC39" s="200">
        <v>332580.64</v>
      </c>
      <c r="CD39" s="185"/>
      <c r="CE39" s="185"/>
      <c r="CF39" s="185"/>
      <c r="CG39" s="186"/>
      <c r="CH39" s="200">
        <v>276014.81000000006</v>
      </c>
      <c r="CI39" s="185"/>
      <c r="CJ39" s="185"/>
      <c r="CK39" s="186"/>
      <c r="CL39" s="200">
        <v>717737.45</v>
      </c>
      <c r="CM39" s="185"/>
      <c r="CN39" s="185"/>
      <c r="CO39" s="186"/>
      <c r="CP39" s="200">
        <v>776787.92</v>
      </c>
      <c r="CQ39" s="185"/>
      <c r="CR39" s="185"/>
      <c r="CS39" s="186"/>
      <c r="CT39" s="200">
        <v>322646.64</v>
      </c>
      <c r="CU39" s="185"/>
      <c r="CV39" s="185"/>
      <c r="CW39" s="185"/>
      <c r="CX39" s="186"/>
      <c r="CY39" s="53">
        <v>109939.4925125</v>
      </c>
      <c r="CZ39" s="200">
        <v>481947.88748749997</v>
      </c>
      <c r="DA39" s="185"/>
      <c r="DB39" s="185"/>
      <c r="DC39" s="186"/>
      <c r="DD39" s="200">
        <v>166502.54999999999</v>
      </c>
      <c r="DE39" s="185"/>
      <c r="DF39" s="185"/>
      <c r="DG39" s="185"/>
      <c r="DH39" s="186"/>
      <c r="DI39" s="53">
        <v>72466.338097500004</v>
      </c>
      <c r="DJ39" s="200">
        <v>207087.6919025</v>
      </c>
      <c r="DK39" s="185"/>
      <c r="DL39" s="186"/>
      <c r="DM39" s="200">
        <v>151526.79375000001</v>
      </c>
      <c r="DN39" s="185"/>
      <c r="DO39" s="185"/>
      <c r="DP39" s="186"/>
      <c r="DQ39" s="100"/>
      <c r="DR39" s="100"/>
      <c r="DS39" s="100"/>
      <c r="DT39" s="27"/>
      <c r="DU39" s="28">
        <v>3833256.7137500001</v>
      </c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F39" s="54"/>
      <c r="FG39" s="54"/>
      <c r="FH39" s="54"/>
    </row>
    <row r="40" spans="1:167" ht="18.95" thickBot="1">
      <c r="D40" s="43" t="s">
        <v>70</v>
      </c>
      <c r="E40" s="145">
        <f>E38-E39</f>
        <v>-12080.929459459468</v>
      </c>
      <c r="F40" s="185"/>
      <c r="G40" s="185"/>
      <c r="H40" s="186"/>
      <c r="I40" s="145">
        <f>I38-I39</f>
        <v>-15493.318648648652</v>
      </c>
      <c r="J40" s="185"/>
      <c r="K40" s="185"/>
      <c r="L40" s="185"/>
      <c r="M40" s="186"/>
      <c r="N40" s="145">
        <f>N38-N39</f>
        <v>982.77513513511803</v>
      </c>
      <c r="O40" s="185"/>
      <c r="P40" s="185"/>
      <c r="Q40" s="185"/>
      <c r="R40" s="186"/>
      <c r="S40" s="145">
        <f>S38-S39</f>
        <v>-51742.802162162203</v>
      </c>
      <c r="T40" s="185"/>
      <c r="U40" s="185"/>
      <c r="V40" s="185"/>
      <c r="W40" s="186"/>
      <c r="X40" s="145">
        <f>X38-X39</f>
        <v>126780.65378378378</v>
      </c>
      <c r="Y40" s="185"/>
      <c r="Z40" s="185"/>
      <c r="AA40" s="186"/>
      <c r="AB40" s="145">
        <f>AB38-AB39</f>
        <v>-9040.5310810811352</v>
      </c>
      <c r="AC40" s="185"/>
      <c r="AD40" s="185"/>
      <c r="AE40" s="186"/>
      <c r="AF40" s="145">
        <f>AF38-AF39</f>
        <v>-160095.92000000004</v>
      </c>
      <c r="AG40" s="185"/>
      <c r="AH40" s="185"/>
      <c r="AI40" s="186"/>
      <c r="AJ40" s="145">
        <f>AJ38-AJ39</f>
        <v>-61397.991351351375</v>
      </c>
      <c r="AK40" s="185"/>
      <c r="AL40" s="185"/>
      <c r="AM40" s="185"/>
      <c r="AN40" s="186"/>
      <c r="AO40" s="58">
        <f>AO38-AO39</f>
        <v>-588.14116114864009</v>
      </c>
      <c r="AP40" s="145">
        <f>AP38-AP39</f>
        <v>-108591.13073074317</v>
      </c>
      <c r="AQ40" s="185"/>
      <c r="AR40" s="185"/>
      <c r="AS40" s="186"/>
      <c r="AT40" s="145">
        <f>AT38-AT39</f>
        <v>14892.044594594627</v>
      </c>
      <c r="AU40" s="185"/>
      <c r="AV40" s="185"/>
      <c r="AW40" s="185"/>
      <c r="AX40" s="186"/>
      <c r="AY40" s="58">
        <f>AY38-AY39</f>
        <v>-61439.311070472977</v>
      </c>
      <c r="AZ40" s="145">
        <f>AZ38-AZ39</f>
        <v>172747.44323263521</v>
      </c>
      <c r="BA40" s="185"/>
      <c r="BB40" s="186"/>
      <c r="BC40" s="145">
        <f>BC38-BC39</f>
        <v>-85915.982939189198</v>
      </c>
      <c r="BD40" s="185"/>
      <c r="BE40" s="185"/>
      <c r="BF40" s="186"/>
      <c r="BG40" s="105"/>
      <c r="BH40" s="60">
        <v>-89056.713750000054</v>
      </c>
      <c r="BJ40" s="100"/>
      <c r="BK40" s="100"/>
      <c r="BL40" s="111"/>
      <c r="BM40" s="111"/>
      <c r="BN40" s="100"/>
      <c r="BO40" s="161">
        <f>BO38-BO39</f>
        <v>-30244.629999999997</v>
      </c>
      <c r="BP40" s="215"/>
      <c r="BQ40" s="215"/>
      <c r="BR40" s="216"/>
      <c r="BS40" s="145">
        <f>BS38-BS39</f>
        <v>-9313.7699999999968</v>
      </c>
      <c r="BT40" s="185"/>
      <c r="BU40" s="185"/>
      <c r="BV40" s="185"/>
      <c r="BW40" s="186"/>
      <c r="BX40" s="145">
        <f>BX38-BX39</f>
        <v>-3635.6000000000058</v>
      </c>
      <c r="BY40" s="185"/>
      <c r="BZ40" s="185"/>
      <c r="CA40" s="185"/>
      <c r="CB40" s="186"/>
      <c r="CC40" s="145">
        <f>CC38-CC39</f>
        <v>-92510.140000000014</v>
      </c>
      <c r="CD40" s="185"/>
      <c r="CE40" s="185"/>
      <c r="CF40" s="185"/>
      <c r="CG40" s="186"/>
      <c r="CH40" s="145">
        <f>CH38-CH39</f>
        <v>217895.01999999996</v>
      </c>
      <c r="CI40" s="185"/>
      <c r="CJ40" s="185"/>
      <c r="CK40" s="186"/>
      <c r="CL40" s="145">
        <f>CL38-CL39</f>
        <v>-42206.239999999991</v>
      </c>
      <c r="CM40" s="185"/>
      <c r="CN40" s="185"/>
      <c r="CO40" s="186"/>
      <c r="CP40" s="145">
        <f>CP38-CP39</f>
        <v>-176919.60000000009</v>
      </c>
      <c r="CQ40" s="185"/>
      <c r="CR40" s="185"/>
      <c r="CS40" s="186"/>
      <c r="CT40" s="145">
        <f>CT38-CT39</f>
        <v>2395.6599999999744</v>
      </c>
      <c r="CU40" s="185"/>
      <c r="CV40" s="185"/>
      <c r="CW40" s="185"/>
      <c r="CX40" s="186"/>
      <c r="CY40" s="58">
        <f>CY38-CY39</f>
        <v>9126.2021541666472</v>
      </c>
      <c r="CZ40" s="145">
        <f>CZ38-CZ39</f>
        <v>-192671.12215416663</v>
      </c>
      <c r="DA40" s="185"/>
      <c r="DB40" s="185"/>
      <c r="DC40" s="186"/>
      <c r="DD40" s="145">
        <f>DD38-DD39</f>
        <v>170643.61</v>
      </c>
      <c r="DE40" s="185"/>
      <c r="DF40" s="185"/>
      <c r="DG40" s="185"/>
      <c r="DH40" s="186"/>
      <c r="DI40" s="58">
        <f>DI38-DI39</f>
        <v>-72466.338097500004</v>
      </c>
      <c r="DJ40" s="145">
        <f>DJ38-DJ39</f>
        <v>78911.078097500023</v>
      </c>
      <c r="DK40" s="185"/>
      <c r="DL40" s="186"/>
      <c r="DM40" s="145">
        <f>DM38-DM39</f>
        <v>-128345.05375000001</v>
      </c>
      <c r="DN40" s="185"/>
      <c r="DO40" s="185"/>
      <c r="DP40" s="186"/>
      <c r="DQ40" s="100"/>
      <c r="DR40" s="100"/>
      <c r="DS40" s="100"/>
      <c r="DT40" s="59"/>
      <c r="DU40" s="60">
        <f>DU39-DU38</f>
        <v>269340.92375000054</v>
      </c>
    </row>
    <row r="41" spans="1:167" ht="18.95" thickBot="1">
      <c r="D41" s="43" t="s">
        <v>71</v>
      </c>
      <c r="E41" s="157">
        <f>E38/DU38</f>
        <v>1.5135189414938599E-2</v>
      </c>
      <c r="F41" s="185"/>
      <c r="G41" s="185"/>
      <c r="H41" s="186"/>
      <c r="I41" s="157">
        <f>I38/DU38</f>
        <v>1.1602785752508296E-2</v>
      </c>
      <c r="J41" s="185"/>
      <c r="K41" s="185"/>
      <c r="L41" s="185"/>
      <c r="M41" s="186"/>
      <c r="N41" s="157">
        <f>N38/DU38</f>
        <v>2.6974580994556869E-2</v>
      </c>
      <c r="O41" s="185"/>
      <c r="P41" s="185"/>
      <c r="Q41" s="185"/>
      <c r="R41" s="186"/>
      <c r="S41" s="157">
        <f>S38/DU38</f>
        <v>7.8800357355760603E-2</v>
      </c>
      <c r="T41" s="185"/>
      <c r="U41" s="185"/>
      <c r="V41" s="185"/>
      <c r="W41" s="186"/>
      <c r="X41" s="157">
        <f>X38/DU38</f>
        <v>0.11302047733955686</v>
      </c>
      <c r="Y41" s="185"/>
      <c r="Z41" s="185"/>
      <c r="AA41" s="186"/>
      <c r="AB41" s="157">
        <f>AB38/DU38</f>
        <v>0.19885344118047157</v>
      </c>
      <c r="AC41" s="185"/>
      <c r="AD41" s="185"/>
      <c r="AE41" s="186"/>
      <c r="AF41" s="157">
        <f>AF38/DU38</f>
        <v>0.17303775856050743</v>
      </c>
      <c r="AG41" s="185"/>
      <c r="AH41" s="185"/>
      <c r="AI41" s="186"/>
      <c r="AJ41" s="157">
        <f>AJ38/DU38</f>
        <v>7.3303821987513534E-2</v>
      </c>
      <c r="AK41" s="185"/>
      <c r="AL41" s="185"/>
      <c r="AM41" s="185"/>
      <c r="AN41" s="186"/>
      <c r="AO41" s="158">
        <f>(AO38+AP38)/DU38</f>
        <v>0.13544318568428021</v>
      </c>
      <c r="AP41" s="185"/>
      <c r="AQ41" s="185"/>
      <c r="AR41" s="185"/>
      <c r="AS41" s="186"/>
      <c r="AT41" s="157">
        <f>AT38/DU38</f>
        <v>5.0897553501003077E-2</v>
      </c>
      <c r="AU41" s="185"/>
      <c r="AV41" s="185"/>
      <c r="AW41" s="185"/>
      <c r="AX41" s="186"/>
      <c r="AY41" s="158">
        <f>(AY38+AZ38)/DU38</f>
        <v>0.10967210932954236</v>
      </c>
      <c r="AZ41" s="185"/>
      <c r="BA41" s="185"/>
      <c r="BB41" s="186"/>
      <c r="BC41" s="157">
        <f>BC38/DU38</f>
        <v>1.8409753393979832E-2</v>
      </c>
      <c r="BD41" s="185"/>
      <c r="BE41" s="185"/>
      <c r="BF41" s="186"/>
      <c r="BG41" s="105"/>
      <c r="BH41" s="61"/>
      <c r="BJ41" s="100"/>
      <c r="BK41" s="100"/>
      <c r="BL41" s="111"/>
      <c r="BM41" s="111"/>
      <c r="BN41" s="100"/>
      <c r="BO41" s="160">
        <f>BO38/DU38</f>
        <v>1.0038632253990492E-2</v>
      </c>
      <c r="BP41" s="185"/>
      <c r="BQ41" s="185"/>
      <c r="BR41" s="217"/>
      <c r="BS41" s="157">
        <f>BS38/DU38</f>
        <v>1.3336706813715149E-2</v>
      </c>
      <c r="BT41" s="185"/>
      <c r="BU41" s="185"/>
      <c r="BV41" s="185"/>
      <c r="BW41" s="186"/>
      <c r="BX41" s="157">
        <f>BX38/DU38</f>
        <v>2.5678709989946202E-2</v>
      </c>
      <c r="BY41" s="185"/>
      <c r="BZ41" s="185"/>
      <c r="CA41" s="185"/>
      <c r="CB41" s="186"/>
      <c r="CC41" s="157">
        <f>CC38/DU38</f>
        <v>6.7361440097326211E-2</v>
      </c>
      <c r="CD41" s="185"/>
      <c r="CE41" s="185"/>
      <c r="CF41" s="185"/>
      <c r="CG41" s="186"/>
      <c r="CH41" s="157">
        <f>CH38/DU38</f>
        <v>0.13858627955965258</v>
      </c>
      <c r="CI41" s="185"/>
      <c r="CJ41" s="185"/>
      <c r="CK41" s="186"/>
      <c r="CL41" s="157">
        <f>CL38/DU38</f>
        <v>0.18954746683282325</v>
      </c>
      <c r="CM41" s="185"/>
      <c r="CN41" s="185"/>
      <c r="CO41" s="186"/>
      <c r="CP41" s="157">
        <f>CP38/DU38</f>
        <v>0.16831719808957665</v>
      </c>
      <c r="CQ41" s="185"/>
      <c r="CR41" s="185"/>
      <c r="CS41" s="186"/>
      <c r="CT41" s="157">
        <f>CT38/DU38</f>
        <v>9.1203698165943481E-2</v>
      </c>
      <c r="CU41" s="185"/>
      <c r="CV41" s="185"/>
      <c r="CW41" s="185"/>
      <c r="CX41" s="186"/>
      <c r="CY41" s="158">
        <f>(CY38+CZ38)/DU38</f>
        <v>0.11457691035960196</v>
      </c>
      <c r="CZ41" s="185"/>
      <c r="DA41" s="185"/>
      <c r="DB41" s="185"/>
      <c r="DC41" s="186"/>
      <c r="DD41" s="157">
        <f>DD38/DU38</f>
        <v>9.4599923192910232E-2</v>
      </c>
      <c r="DE41" s="185"/>
      <c r="DF41" s="185"/>
      <c r="DG41" s="185"/>
      <c r="DH41" s="186"/>
      <c r="DI41" s="158">
        <f>(DI38+DJ38)/DU38</f>
        <v>8.0248464568799499E-2</v>
      </c>
      <c r="DJ41" s="185"/>
      <c r="DK41" s="185"/>
      <c r="DL41" s="186"/>
      <c r="DM41" s="157">
        <f>DM38/DU38</f>
        <v>6.5045700757143882E-3</v>
      </c>
      <c r="DN41" s="185"/>
      <c r="DO41" s="185"/>
      <c r="DP41" s="186"/>
      <c r="DQ41" s="100"/>
      <c r="DR41" s="100"/>
      <c r="DS41" s="100"/>
      <c r="DT41" s="59"/>
      <c r="DU41" s="61"/>
    </row>
    <row r="42" spans="1:167" ht="18.95" thickBot="1">
      <c r="D42" s="43" t="s">
        <v>72</v>
      </c>
      <c r="E42" s="157">
        <v>1.7223336429094124E-2</v>
      </c>
      <c r="F42" s="185"/>
      <c r="G42" s="185"/>
      <c r="H42" s="186"/>
      <c r="I42" s="157">
        <v>1.4829340752498147E-2</v>
      </c>
      <c r="J42" s="185"/>
      <c r="K42" s="185"/>
      <c r="L42" s="185"/>
      <c r="M42" s="186"/>
      <c r="N42" s="157">
        <v>2.4822850934738024E-2</v>
      </c>
      <c r="O42" s="185"/>
      <c r="P42" s="185"/>
      <c r="Q42" s="185"/>
      <c r="R42" s="186"/>
      <c r="S42" s="157">
        <v>8.6761901128881838E-2</v>
      </c>
      <c r="T42" s="185"/>
      <c r="U42" s="185"/>
      <c r="V42" s="185"/>
      <c r="W42" s="186"/>
      <c r="X42" s="157">
        <v>7.2005302699901921E-2</v>
      </c>
      <c r="Y42" s="185"/>
      <c r="Z42" s="185"/>
      <c r="AA42" s="186"/>
      <c r="AB42" s="157">
        <v>0.18723959901392867</v>
      </c>
      <c r="AC42" s="185"/>
      <c r="AD42" s="185"/>
      <c r="AE42" s="186"/>
      <c r="AF42" s="157">
        <v>0.20264437735506727</v>
      </c>
      <c r="AG42" s="185"/>
      <c r="AH42" s="185"/>
      <c r="AI42" s="186"/>
      <c r="AJ42" s="157">
        <v>8.4170371069241828E-2</v>
      </c>
      <c r="AK42" s="185"/>
      <c r="AL42" s="185"/>
      <c r="AM42" s="185"/>
      <c r="AN42" s="186"/>
      <c r="AO42" s="158">
        <v>0.15440848975151683</v>
      </c>
      <c r="AP42" s="185"/>
      <c r="AQ42" s="185"/>
      <c r="AR42" s="185"/>
      <c r="AS42" s="186"/>
      <c r="AT42" s="157">
        <v>4.3436316018896054E-2</v>
      </c>
      <c r="AU42" s="185"/>
      <c r="AV42" s="185"/>
      <c r="AW42" s="185"/>
      <c r="AX42" s="186"/>
      <c r="AY42" s="158">
        <v>7.2928595937034907E-2</v>
      </c>
      <c r="AZ42" s="185"/>
      <c r="BA42" s="185"/>
      <c r="BB42" s="186"/>
      <c r="BC42" s="157">
        <v>3.9529518909200402E-2</v>
      </c>
      <c r="BD42" s="185"/>
      <c r="BE42" s="185"/>
      <c r="BF42" s="186"/>
      <c r="BG42" s="100"/>
      <c r="BJ42" s="100"/>
      <c r="BK42" s="100"/>
      <c r="BL42" s="111"/>
      <c r="BM42" s="111"/>
      <c r="BN42" s="100"/>
      <c r="BO42" s="159">
        <v>1.7223336429094124E-2</v>
      </c>
      <c r="BP42" s="218"/>
      <c r="BQ42" s="218"/>
      <c r="BR42" s="219"/>
      <c r="BS42" s="157">
        <v>1.4829340752498147E-2</v>
      </c>
      <c r="BT42" s="185"/>
      <c r="BU42" s="185"/>
      <c r="BV42" s="185"/>
      <c r="BW42" s="186"/>
      <c r="BX42" s="157">
        <v>2.4822850934738024E-2</v>
      </c>
      <c r="BY42" s="185"/>
      <c r="BZ42" s="185"/>
      <c r="CA42" s="185"/>
      <c r="CB42" s="186"/>
      <c r="CC42" s="157">
        <v>8.6761901128881838E-2</v>
      </c>
      <c r="CD42" s="185"/>
      <c r="CE42" s="185"/>
      <c r="CF42" s="185"/>
      <c r="CG42" s="186"/>
      <c r="CH42" s="157">
        <v>7.2005302699901921E-2</v>
      </c>
      <c r="CI42" s="185"/>
      <c r="CJ42" s="185"/>
      <c r="CK42" s="186"/>
      <c r="CL42" s="157">
        <v>0.18723959901392867</v>
      </c>
      <c r="CM42" s="185"/>
      <c r="CN42" s="185"/>
      <c r="CO42" s="186"/>
      <c r="CP42" s="157">
        <v>0.20264437735506727</v>
      </c>
      <c r="CQ42" s="185"/>
      <c r="CR42" s="185"/>
      <c r="CS42" s="186"/>
      <c r="CT42" s="157">
        <v>8.4170371069241828E-2</v>
      </c>
      <c r="CU42" s="185"/>
      <c r="CV42" s="185"/>
      <c r="CW42" s="185"/>
      <c r="CX42" s="186"/>
      <c r="CY42" s="158">
        <v>0.15440848975151683</v>
      </c>
      <c r="CZ42" s="185"/>
      <c r="DA42" s="185"/>
      <c r="DB42" s="185"/>
      <c r="DC42" s="186"/>
      <c r="DD42" s="157">
        <v>4.3436316018896054E-2</v>
      </c>
      <c r="DE42" s="185"/>
      <c r="DF42" s="185"/>
      <c r="DG42" s="185"/>
      <c r="DH42" s="186"/>
      <c r="DI42" s="158">
        <v>7.2928595937034907E-2</v>
      </c>
      <c r="DJ42" s="185"/>
      <c r="DK42" s="185"/>
      <c r="DL42" s="186"/>
      <c r="DM42" s="157">
        <v>3.9529518909200402E-2</v>
      </c>
      <c r="DN42" s="185"/>
      <c r="DO42" s="185"/>
      <c r="DP42" s="186"/>
      <c r="DQ42" s="100"/>
      <c r="DR42" s="100"/>
      <c r="DS42" s="100"/>
    </row>
    <row r="43" spans="1:167" ht="15.75" customHeight="1">
      <c r="DU43" s="106"/>
    </row>
    <row r="45" spans="1:167" ht="18.95" hidden="1" thickBot="1">
      <c r="D45" s="72" t="s">
        <v>60</v>
      </c>
      <c r="E45" s="203">
        <v>0</v>
      </c>
      <c r="F45" s="204"/>
      <c r="G45" s="204"/>
      <c r="H45" s="205"/>
      <c r="I45" s="206">
        <v>0</v>
      </c>
      <c r="J45" s="207"/>
      <c r="K45" s="207"/>
      <c r="L45" s="207"/>
      <c r="M45" s="208"/>
      <c r="N45" s="203">
        <v>0</v>
      </c>
      <c r="O45" s="204"/>
      <c r="P45" s="204"/>
      <c r="Q45" s="204"/>
      <c r="R45" s="205"/>
      <c r="S45" s="203">
        <v>0</v>
      </c>
      <c r="T45" s="204"/>
      <c r="U45" s="204"/>
      <c r="V45" s="204"/>
      <c r="W45" s="205"/>
      <c r="X45" s="203">
        <v>10600</v>
      </c>
      <c r="Y45" s="204"/>
      <c r="Z45" s="204"/>
      <c r="AA45" s="205"/>
      <c r="AB45" s="203">
        <v>21200</v>
      </c>
      <c r="AC45" s="204"/>
      <c r="AD45" s="204"/>
      <c r="AE45" s="205"/>
      <c r="AF45" s="203">
        <v>21200</v>
      </c>
      <c r="AG45" s="204"/>
      <c r="AH45" s="204"/>
      <c r="AI45" s="205"/>
      <c r="AJ45" s="203">
        <v>14800</v>
      </c>
      <c r="AK45" s="204"/>
      <c r="AL45" s="204"/>
      <c r="AM45" s="204"/>
      <c r="AN45" s="205"/>
      <c r="AO45" s="68"/>
      <c r="AP45" s="203">
        <v>17000</v>
      </c>
      <c r="AQ45" s="204"/>
      <c r="AR45" s="204"/>
      <c r="AS45" s="205"/>
      <c r="AT45" s="203">
        <v>8500</v>
      </c>
      <c r="AU45" s="204"/>
      <c r="AV45" s="204"/>
      <c r="AW45" s="204"/>
      <c r="AX45" s="205"/>
      <c r="AY45" s="68">
        <v>0</v>
      </c>
      <c r="AZ45" s="203">
        <v>6400</v>
      </c>
      <c r="BA45" s="204"/>
      <c r="BB45" s="205"/>
      <c r="BC45" s="203">
        <v>6400</v>
      </c>
      <c r="BD45" s="204"/>
      <c r="BE45" s="204"/>
      <c r="BF45" s="205"/>
      <c r="BG45" s="103"/>
      <c r="BH45" s="71" t="e">
        <f>#REF!+#REF!+#REF!+#REF!+#REF!+#REF!+#REF!+#REF!+#REF!+#REF!+#REF!+#REF!+#REF!</f>
        <v>#REF!</v>
      </c>
      <c r="BI45" s="70"/>
      <c r="BJ45" s="103"/>
      <c r="BK45" s="103"/>
      <c r="BL45" s="117"/>
      <c r="BM45" s="117"/>
      <c r="BN45" s="103"/>
      <c r="BO45" s="203">
        <v>0</v>
      </c>
      <c r="BP45" s="204"/>
      <c r="BQ45" s="204"/>
      <c r="BR45" s="205"/>
      <c r="BS45" s="206">
        <v>0</v>
      </c>
      <c r="BT45" s="207"/>
      <c r="BU45" s="207"/>
      <c r="BV45" s="207"/>
      <c r="BW45" s="208"/>
      <c r="BX45" s="203">
        <v>0</v>
      </c>
      <c r="BY45" s="204"/>
      <c r="BZ45" s="204"/>
      <c r="CA45" s="204"/>
      <c r="CB45" s="205"/>
      <c r="CC45" s="203">
        <v>0</v>
      </c>
      <c r="CD45" s="204"/>
      <c r="CE45" s="204"/>
      <c r="CF45" s="204"/>
      <c r="CG45" s="205"/>
      <c r="CH45" s="203">
        <v>10600</v>
      </c>
      <c r="CI45" s="204"/>
      <c r="CJ45" s="204"/>
      <c r="CK45" s="205"/>
      <c r="CL45" s="203">
        <v>21200</v>
      </c>
      <c r="CM45" s="204"/>
      <c r="CN45" s="204"/>
      <c r="CO45" s="205"/>
      <c r="CP45" s="203">
        <v>21200</v>
      </c>
      <c r="CQ45" s="204"/>
      <c r="CR45" s="204"/>
      <c r="CS45" s="205"/>
      <c r="CT45" s="203">
        <v>14800</v>
      </c>
      <c r="CU45" s="204"/>
      <c r="CV45" s="204"/>
      <c r="CW45" s="204"/>
      <c r="CX45" s="205"/>
      <c r="CY45" s="68"/>
      <c r="CZ45" s="203">
        <v>17000</v>
      </c>
      <c r="DA45" s="204"/>
      <c r="DB45" s="204"/>
      <c r="DC45" s="205"/>
      <c r="DD45" s="203">
        <v>8500</v>
      </c>
      <c r="DE45" s="204"/>
      <c r="DF45" s="204"/>
      <c r="DG45" s="204"/>
      <c r="DH45" s="205"/>
      <c r="DI45" s="68">
        <v>0</v>
      </c>
      <c r="DJ45" s="203">
        <v>6400</v>
      </c>
      <c r="DK45" s="204"/>
      <c r="DL45" s="205"/>
      <c r="DM45" s="203">
        <v>6400</v>
      </c>
      <c r="DN45" s="204"/>
      <c r="DO45" s="204"/>
      <c r="DP45" s="205"/>
      <c r="DQ45" s="103"/>
      <c r="DR45" s="103"/>
      <c r="DS45" s="103"/>
      <c r="DT45" s="69"/>
      <c r="DU45" s="71">
        <f>E45+I45+N45+S45+X45+AB45+AF45+AJ45+AO45+AP45+AT45+AZ45+BC45</f>
        <v>106100</v>
      </c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</row>
    <row r="46" spans="1:167" ht="15.75" customHeight="1" thickBot="1"/>
    <row r="47" spans="1:167" ht="18.95" thickBot="1">
      <c r="D47" s="43" t="s">
        <v>73</v>
      </c>
      <c r="E47" s="145">
        <v>0</v>
      </c>
      <c r="F47" s="185"/>
      <c r="G47" s="185"/>
      <c r="H47" s="186"/>
      <c r="I47" s="145">
        <v>0</v>
      </c>
      <c r="J47" s="185"/>
      <c r="K47" s="185"/>
      <c r="L47" s="185"/>
      <c r="M47" s="186"/>
      <c r="N47" s="155">
        <v>0</v>
      </c>
      <c r="O47" s="145"/>
      <c r="P47" s="145"/>
      <c r="Q47" s="145"/>
      <c r="R47" s="156"/>
      <c r="S47" s="155">
        <v>25000</v>
      </c>
      <c r="T47" s="185"/>
      <c r="U47" s="185"/>
      <c r="V47" s="185"/>
      <c r="W47" s="186"/>
      <c r="X47" s="145">
        <v>0</v>
      </c>
      <c r="Y47" s="185"/>
      <c r="Z47" s="185"/>
      <c r="AA47" s="186"/>
      <c r="AB47" s="145">
        <v>0</v>
      </c>
      <c r="AC47" s="185"/>
      <c r="AD47" s="185"/>
      <c r="AE47" s="186"/>
      <c r="AF47" s="145">
        <v>80000</v>
      </c>
      <c r="AG47" s="185"/>
      <c r="AH47" s="185"/>
      <c r="AI47" s="186"/>
      <c r="AJ47" s="145">
        <v>27000</v>
      </c>
      <c r="AK47" s="185"/>
      <c r="AL47" s="185"/>
      <c r="AM47" s="185"/>
      <c r="AN47" s="186"/>
      <c r="AO47" s="58"/>
      <c r="AP47" s="145">
        <v>0</v>
      </c>
      <c r="AQ47" s="185"/>
      <c r="AR47" s="185"/>
      <c r="AS47" s="186"/>
      <c r="AT47" s="145">
        <v>0</v>
      </c>
      <c r="AU47" s="185"/>
      <c r="AV47" s="185"/>
      <c r="AW47" s="185"/>
      <c r="AX47" s="186"/>
      <c r="AY47" s="58"/>
      <c r="AZ47" s="145">
        <v>0</v>
      </c>
      <c r="BA47" s="185"/>
      <c r="BB47" s="186"/>
      <c r="BC47" s="145">
        <v>0</v>
      </c>
      <c r="BD47" s="185"/>
      <c r="BE47" s="185"/>
      <c r="BF47" s="186"/>
      <c r="BG47" s="100"/>
      <c r="BH47" s="28" t="e">
        <f>#REF!+#REF!+#REF!</f>
        <v>#REF!</v>
      </c>
      <c r="BJ47" s="100"/>
      <c r="BK47" s="100"/>
      <c r="BL47" s="111"/>
      <c r="BM47" s="111"/>
      <c r="BN47" s="100"/>
      <c r="BO47" s="154">
        <v>0</v>
      </c>
      <c r="BP47" s="220"/>
      <c r="BQ47" s="220"/>
      <c r="BR47" s="221"/>
      <c r="BS47" s="145">
        <v>0</v>
      </c>
      <c r="BT47" s="185"/>
      <c r="BU47" s="185"/>
      <c r="BV47" s="185"/>
      <c r="BW47" s="186"/>
      <c r="BX47" s="155">
        <v>0</v>
      </c>
      <c r="BY47" s="145"/>
      <c r="BZ47" s="145"/>
      <c r="CA47" s="145"/>
      <c r="CB47" s="156"/>
      <c r="CC47" s="155">
        <v>24626.639999999999</v>
      </c>
      <c r="CD47" s="185"/>
      <c r="CE47" s="185"/>
      <c r="CF47" s="185"/>
      <c r="CG47" s="186"/>
      <c r="CH47" s="145">
        <v>0</v>
      </c>
      <c r="CI47" s="185"/>
      <c r="CJ47" s="185"/>
      <c r="CK47" s="186"/>
      <c r="CL47" s="145">
        <v>7935.63</v>
      </c>
      <c r="CM47" s="185"/>
      <c r="CN47" s="185"/>
      <c r="CO47" s="186"/>
      <c r="CP47" s="145">
        <v>119806.17</v>
      </c>
      <c r="CQ47" s="185"/>
      <c r="CR47" s="185"/>
      <c r="CS47" s="186"/>
      <c r="CT47" s="145">
        <f>64080+8.65</f>
        <v>64088.65</v>
      </c>
      <c r="CU47" s="185"/>
      <c r="CV47" s="185"/>
      <c r="CW47" s="185"/>
      <c r="CX47" s="186"/>
      <c r="CY47" s="58">
        <v>0</v>
      </c>
      <c r="CZ47" s="145">
        <v>0</v>
      </c>
      <c r="DA47" s="185"/>
      <c r="DB47" s="185"/>
      <c r="DC47" s="186"/>
      <c r="DD47" s="145">
        <v>0</v>
      </c>
      <c r="DE47" s="185"/>
      <c r="DF47" s="185"/>
      <c r="DG47" s="185"/>
      <c r="DH47" s="186"/>
      <c r="DI47" s="58"/>
      <c r="DJ47" s="145">
        <v>17857.580000000002</v>
      </c>
      <c r="DK47" s="185"/>
      <c r="DL47" s="186"/>
      <c r="DM47" s="145">
        <f>4534.75+400.19</f>
        <v>4934.9399999999996</v>
      </c>
      <c r="DN47" s="185"/>
      <c r="DO47" s="185"/>
      <c r="DP47" s="186"/>
      <c r="DQ47" s="100"/>
      <c r="DR47" s="100"/>
      <c r="DS47" s="100"/>
      <c r="DU47" s="28">
        <f>SUM(BO47:DP47)</f>
        <v>239249.61</v>
      </c>
    </row>
    <row r="48" spans="1:167" ht="14.1" thickBot="1">
      <c r="R48" s="73"/>
      <c r="S48" s="146" t="s">
        <v>74</v>
      </c>
      <c r="T48" s="185"/>
      <c r="U48" s="185"/>
      <c r="V48" s="185"/>
      <c r="W48" s="186"/>
      <c r="AF48" s="147" t="s">
        <v>75</v>
      </c>
      <c r="AG48" s="148"/>
      <c r="AH48" s="148"/>
      <c r="AI48" s="149"/>
      <c r="AJ48" s="150" t="s">
        <v>76</v>
      </c>
      <c r="AK48" s="151"/>
      <c r="AL48" s="151"/>
      <c r="AM48" s="151"/>
      <c r="AN48" s="152"/>
      <c r="AZ48" s="153" t="s">
        <v>77</v>
      </c>
      <c r="BA48" s="185"/>
      <c r="BB48" s="186"/>
      <c r="CB48" s="73"/>
      <c r="CC48" s="146" t="s">
        <v>74</v>
      </c>
      <c r="CD48" s="185"/>
      <c r="CE48" s="185"/>
      <c r="CF48" s="185"/>
      <c r="CG48" s="186"/>
      <c r="CP48" s="147" t="s">
        <v>75</v>
      </c>
      <c r="CQ48" s="148"/>
      <c r="CR48" s="148"/>
      <c r="CS48" s="149"/>
      <c r="CT48" s="150" t="s">
        <v>76</v>
      </c>
      <c r="CU48" s="151"/>
      <c r="CV48" s="151"/>
      <c r="CW48" s="151"/>
      <c r="CX48" s="152"/>
      <c r="DJ48" s="153" t="s">
        <v>77</v>
      </c>
      <c r="DK48" s="185"/>
      <c r="DL48" s="186"/>
    </row>
    <row r="49" spans="4:164" ht="14.1" thickBot="1">
      <c r="AH49" s="136" t="s">
        <v>78</v>
      </c>
      <c r="AI49" s="137"/>
      <c r="AJ49" s="137"/>
      <c r="AK49" s="137"/>
      <c r="AL49" s="138"/>
      <c r="CR49" s="136" t="s">
        <v>78</v>
      </c>
      <c r="CS49" s="137"/>
      <c r="CT49" s="137"/>
      <c r="CU49" s="137"/>
      <c r="CV49" s="138"/>
    </row>
    <row r="50" spans="4:164" ht="14.1" thickBot="1">
      <c r="AH50" s="139" t="s">
        <v>79</v>
      </c>
      <c r="AI50" s="140"/>
      <c r="AJ50" s="140"/>
      <c r="AK50" s="140"/>
      <c r="AL50" s="141"/>
      <c r="CR50" s="139" t="s">
        <v>79</v>
      </c>
      <c r="CS50" s="140"/>
      <c r="CT50" s="140"/>
      <c r="CU50" s="140"/>
      <c r="CV50" s="141"/>
    </row>
    <row r="51" spans="4:164" ht="18">
      <c r="D51" s="183" t="s">
        <v>80</v>
      </c>
      <c r="E51" s="18"/>
      <c r="F51" s="18"/>
      <c r="G51" s="18"/>
      <c r="H51" s="18"/>
      <c r="BO51" s="18"/>
      <c r="BP51" s="18"/>
      <c r="BQ51" s="18"/>
      <c r="BR51" s="18"/>
    </row>
    <row r="52" spans="4:164" ht="14.1" thickBot="1">
      <c r="D52" s="222"/>
      <c r="E52" s="142">
        <v>8.8249999999999995E-2</v>
      </c>
      <c r="F52" s="143"/>
      <c r="G52" s="143"/>
      <c r="H52" s="143"/>
      <c r="I52" s="134">
        <v>8.8249999999999995E-2</v>
      </c>
      <c r="J52" s="134"/>
      <c r="K52" s="134"/>
      <c r="L52" s="134"/>
      <c r="M52" s="134"/>
      <c r="N52" s="134">
        <v>8.8249999999999995E-2</v>
      </c>
      <c r="O52" s="134"/>
      <c r="P52" s="134"/>
      <c r="Q52" s="134"/>
      <c r="R52" s="134"/>
      <c r="S52" s="134">
        <v>8.8249999999999995E-2</v>
      </c>
      <c r="T52" s="134"/>
      <c r="U52" s="134"/>
      <c r="V52" s="134"/>
      <c r="W52" s="134"/>
      <c r="X52" s="144">
        <v>8.8249999999999995E-2</v>
      </c>
      <c r="Y52" s="144"/>
      <c r="Z52" s="144"/>
      <c r="AA52" s="144"/>
      <c r="AB52" s="135">
        <v>8.8249999999999995E-2</v>
      </c>
      <c r="AC52" s="135"/>
      <c r="AD52" s="135"/>
      <c r="AE52" s="135"/>
      <c r="AF52" s="135">
        <v>8.8249999999999995E-2</v>
      </c>
      <c r="AG52" s="135"/>
      <c r="AH52" s="135"/>
      <c r="AI52" s="135"/>
      <c r="AJ52" s="134">
        <v>8.8249999999999995E-2</v>
      </c>
      <c r="AK52" s="134"/>
      <c r="AL52" s="134"/>
      <c r="AM52" s="134"/>
      <c r="AN52" s="134"/>
      <c r="AO52" s="134">
        <v>8.8249999999999995E-2</v>
      </c>
      <c r="AP52" s="134"/>
      <c r="AQ52" s="134"/>
      <c r="AR52" s="134"/>
      <c r="AS52" s="134"/>
      <c r="AT52" s="134">
        <v>8.8249999999999995E-2</v>
      </c>
      <c r="AU52" s="134"/>
      <c r="AV52" s="134"/>
      <c r="AW52" s="134"/>
      <c r="AX52" s="134"/>
      <c r="AY52" s="135">
        <v>8.8249999999999995E-2</v>
      </c>
      <c r="AZ52" s="135"/>
      <c r="BA52" s="135"/>
      <c r="BB52" s="135"/>
      <c r="BC52" s="135">
        <v>8.8249999999999995E-2</v>
      </c>
      <c r="BD52" s="135"/>
      <c r="BE52" s="135"/>
      <c r="BF52" s="135"/>
      <c r="BG52" s="96"/>
      <c r="BJ52" s="96"/>
      <c r="BK52" s="96"/>
      <c r="BL52" s="119"/>
      <c r="BM52" s="119"/>
      <c r="BN52" s="96"/>
      <c r="BO52" s="142">
        <v>8.8249999999999995E-2</v>
      </c>
      <c r="BP52" s="143"/>
      <c r="BQ52" s="143"/>
      <c r="BR52" s="143"/>
      <c r="BS52" s="134">
        <v>8.8249999999999995E-2</v>
      </c>
      <c r="BT52" s="134"/>
      <c r="BU52" s="134"/>
      <c r="BV52" s="134"/>
      <c r="BW52" s="134"/>
      <c r="BX52" s="134">
        <v>8.8249999999999995E-2</v>
      </c>
      <c r="BY52" s="134"/>
      <c r="BZ52" s="134"/>
      <c r="CA52" s="134"/>
      <c r="CB52" s="134"/>
      <c r="CC52" s="134">
        <v>8.8249999999999995E-2</v>
      </c>
      <c r="CD52" s="134"/>
      <c r="CE52" s="134"/>
      <c r="CF52" s="134"/>
      <c r="CG52" s="134"/>
      <c r="CH52" s="144">
        <v>8.8249999999999995E-2</v>
      </c>
      <c r="CI52" s="144"/>
      <c r="CJ52" s="144"/>
      <c r="CK52" s="144"/>
      <c r="CL52" s="135">
        <v>8.8249999999999995E-2</v>
      </c>
      <c r="CM52" s="135"/>
      <c r="CN52" s="135"/>
      <c r="CO52" s="135"/>
      <c r="CP52" s="135">
        <v>8.8249999999999995E-2</v>
      </c>
      <c r="CQ52" s="135"/>
      <c r="CR52" s="135"/>
      <c r="CS52" s="135"/>
      <c r="CT52" s="134">
        <v>8.8249999999999995E-2</v>
      </c>
      <c r="CU52" s="134"/>
      <c r="CV52" s="134"/>
      <c r="CW52" s="134"/>
      <c r="CX52" s="134"/>
      <c r="CY52" s="134">
        <v>8.8249999999999995E-2</v>
      </c>
      <c r="CZ52" s="134"/>
      <c r="DA52" s="134"/>
      <c r="DB52" s="134"/>
      <c r="DC52" s="134"/>
      <c r="DD52" s="134">
        <v>8.8249999999999995E-2</v>
      </c>
      <c r="DE52" s="134"/>
      <c r="DF52" s="134"/>
      <c r="DG52" s="134"/>
      <c r="DH52" s="134"/>
      <c r="DI52" s="135">
        <v>8.8249999999999995E-2</v>
      </c>
      <c r="DJ52" s="135"/>
      <c r="DK52" s="135"/>
      <c r="DL52" s="135"/>
      <c r="DM52" s="135">
        <v>8.8249999999999995E-2</v>
      </c>
      <c r="DN52" s="135"/>
      <c r="DO52" s="135"/>
      <c r="DP52" s="135"/>
      <c r="DQ52" s="96"/>
      <c r="DR52" s="96"/>
      <c r="DS52" s="96"/>
    </row>
    <row r="53" spans="4:164" ht="15" thickBot="1">
      <c r="D53" s="52" t="s">
        <v>81</v>
      </c>
      <c r="E53" s="192">
        <f>0.08825*E38</f>
        <v>4760.2527027027018</v>
      </c>
      <c r="F53" s="185"/>
      <c r="G53" s="185"/>
      <c r="H53" s="186"/>
      <c r="I53" s="192">
        <f>0.08825*I38</f>
        <v>3649.2567567567562</v>
      </c>
      <c r="J53" s="185"/>
      <c r="K53" s="185"/>
      <c r="L53" s="185"/>
      <c r="M53" s="186"/>
      <c r="N53" s="192">
        <f>N38*N52</f>
        <v>8483.9256756756731</v>
      </c>
      <c r="O53" s="185"/>
      <c r="P53" s="185"/>
      <c r="Q53" s="185"/>
      <c r="R53" s="186"/>
      <c r="S53" s="192">
        <f>S38*S52</f>
        <v>24783.939189189186</v>
      </c>
      <c r="T53" s="185"/>
      <c r="U53" s="185"/>
      <c r="V53" s="185"/>
      <c r="W53" s="186"/>
      <c r="X53" s="223">
        <f>X52*X38</f>
        <v>35546.699678918922</v>
      </c>
      <c r="Y53" s="215"/>
      <c r="Z53" s="215"/>
      <c r="AA53" s="224"/>
      <c r="AB53" s="192">
        <f>AB38*AB52</f>
        <v>62542.503094594584</v>
      </c>
      <c r="AC53" s="185"/>
      <c r="AD53" s="185"/>
      <c r="AE53" s="186"/>
      <c r="AF53" s="192">
        <f>AF38*AF52</f>
        <v>54423.068999999996</v>
      </c>
      <c r="AG53" s="185"/>
      <c r="AH53" s="185"/>
      <c r="AI53" s="186"/>
      <c r="AJ53" s="192">
        <f>AJ52*AJ38</f>
        <v>23055.19324324324</v>
      </c>
      <c r="AK53" s="185"/>
      <c r="AL53" s="185"/>
      <c r="AM53" s="185"/>
      <c r="AN53" s="186"/>
      <c r="AO53" s="192">
        <f>(AO38+AP38)*AO52</f>
        <v>42598.990540540544</v>
      </c>
      <c r="AP53" s="185"/>
      <c r="AQ53" s="185"/>
      <c r="AR53" s="185"/>
      <c r="AS53" s="186"/>
      <c r="AT53" s="192">
        <f>AT38*AT52</f>
        <v>16008.072972972974</v>
      </c>
      <c r="AU53" s="185"/>
      <c r="AV53" s="185"/>
      <c r="AW53" s="185"/>
      <c r="AX53" s="186"/>
      <c r="AY53" s="192">
        <f>(AZ38+AY38)*0.08825</f>
        <v>34493.585810810815</v>
      </c>
      <c r="AZ53" s="185"/>
      <c r="BA53" s="185"/>
      <c r="BB53" s="186"/>
      <c r="BC53" s="192">
        <f>BC36*BC52</f>
        <v>5790.1540540540536</v>
      </c>
      <c r="BD53" s="185"/>
      <c r="BE53" s="185"/>
      <c r="BF53" s="186"/>
      <c r="BG53" s="100"/>
      <c r="BH53" s="28">
        <f t="shared" ref="BH53:BH60" si="12">SUM(E53:BF53)</f>
        <v>316135.64271945943</v>
      </c>
      <c r="BI53" s="84">
        <f>BH53/$DU$61</f>
        <v>0.30947175947032657</v>
      </c>
      <c r="BJ53" s="100"/>
      <c r="BK53" s="100"/>
      <c r="BL53" s="111"/>
      <c r="BM53" s="111"/>
      <c r="BN53" s="100"/>
      <c r="BO53" s="225">
        <v>2707.94</v>
      </c>
      <c r="BP53" s="215"/>
      <c r="BQ53" s="215"/>
      <c r="BR53" s="216"/>
      <c r="BS53" s="198">
        <v>3745.22</v>
      </c>
      <c r="BT53" s="185"/>
      <c r="BU53" s="185"/>
      <c r="BV53" s="185"/>
      <c r="BW53" s="186"/>
      <c r="BX53" s="192">
        <v>7458.6</v>
      </c>
      <c r="BY53" s="185"/>
      <c r="BZ53" s="185"/>
      <c r="CA53" s="185"/>
      <c r="CB53" s="186"/>
      <c r="CC53" s="192">
        <v>20568.46</v>
      </c>
      <c r="CD53" s="185"/>
      <c r="CE53" s="185"/>
      <c r="CF53" s="185"/>
      <c r="CG53" s="186"/>
      <c r="CH53" s="223">
        <v>43587.59</v>
      </c>
      <c r="CI53" s="215"/>
      <c r="CJ53" s="215"/>
      <c r="CK53" s="224"/>
      <c r="CL53" s="192">
        <v>59615.64</v>
      </c>
      <c r="CM53" s="185"/>
      <c r="CN53" s="185"/>
      <c r="CO53" s="186"/>
      <c r="CP53" s="192">
        <v>51080.85</v>
      </c>
      <c r="CQ53" s="185"/>
      <c r="CR53" s="185"/>
      <c r="CS53" s="186"/>
      <c r="CT53" s="192">
        <v>28922.58</v>
      </c>
      <c r="CU53" s="185"/>
      <c r="CV53" s="185"/>
      <c r="CW53" s="185"/>
      <c r="CX53" s="186"/>
      <c r="CY53" s="192">
        <v>36036.25</v>
      </c>
      <c r="CZ53" s="185"/>
      <c r="DA53" s="185"/>
      <c r="DB53" s="185"/>
      <c r="DC53" s="186"/>
      <c r="DD53" s="192">
        <v>29994.18</v>
      </c>
      <c r="DE53" s="185"/>
      <c r="DF53" s="185"/>
      <c r="DG53" s="185"/>
      <c r="DH53" s="186"/>
      <c r="DI53" s="192">
        <f>25239.43</f>
        <v>25239.43</v>
      </c>
      <c r="DJ53" s="185"/>
      <c r="DK53" s="185"/>
      <c r="DL53" s="186"/>
      <c r="DM53" s="192">
        <f>1404.52+641.27</f>
        <v>2045.79</v>
      </c>
      <c r="DN53" s="185"/>
      <c r="DO53" s="185"/>
      <c r="DP53" s="186"/>
      <c r="DQ53" s="100"/>
      <c r="DR53" s="100"/>
      <c r="DS53" s="100"/>
      <c r="DU53" s="28">
        <f t="shared" ref="DU53:DU60" si="13">SUM(BO53:DP53)</f>
        <v>311002.52999999997</v>
      </c>
      <c r="DV53" s="84">
        <f>DU53/$DU$61</f>
        <v>0.30444684860869264</v>
      </c>
      <c r="DW53" s="107">
        <f>DU53-BH53</f>
        <v>-5133.1127194594592</v>
      </c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</row>
    <row r="54" spans="4:164" ht="15" thickBot="1">
      <c r="D54" s="52" t="s">
        <v>82</v>
      </c>
      <c r="E54" s="192">
        <v>0</v>
      </c>
      <c r="F54" s="198"/>
      <c r="G54" s="198"/>
      <c r="H54" s="199"/>
      <c r="I54" s="192">
        <v>0</v>
      </c>
      <c r="J54" s="185"/>
      <c r="K54" s="185"/>
      <c r="L54" s="185"/>
      <c r="M54" s="186"/>
      <c r="N54" s="192">
        <v>10000</v>
      </c>
      <c r="O54" s="185"/>
      <c r="P54" s="185"/>
      <c r="Q54" s="185"/>
      <c r="R54" s="186"/>
      <c r="S54" s="192">
        <v>15000</v>
      </c>
      <c r="T54" s="185"/>
      <c r="U54" s="185"/>
      <c r="V54" s="185"/>
      <c r="W54" s="186"/>
      <c r="X54" s="192">
        <v>10000</v>
      </c>
      <c r="Y54" s="185"/>
      <c r="Z54" s="185"/>
      <c r="AA54" s="186"/>
      <c r="AB54" s="192">
        <v>10000</v>
      </c>
      <c r="AC54" s="185"/>
      <c r="AD54" s="185"/>
      <c r="AE54" s="186"/>
      <c r="AF54" s="192">
        <v>10000</v>
      </c>
      <c r="AG54" s="185"/>
      <c r="AH54" s="185"/>
      <c r="AI54" s="186"/>
      <c r="AJ54" s="192">
        <v>0</v>
      </c>
      <c r="AK54" s="185"/>
      <c r="AL54" s="185"/>
      <c r="AM54" s="185"/>
      <c r="AN54" s="186"/>
      <c r="AO54" s="192">
        <v>15000</v>
      </c>
      <c r="AP54" s="185"/>
      <c r="AQ54" s="185"/>
      <c r="AR54" s="185"/>
      <c r="AS54" s="186"/>
      <c r="AT54" s="192">
        <v>0</v>
      </c>
      <c r="AU54" s="185"/>
      <c r="AV54" s="185"/>
      <c r="AW54" s="185"/>
      <c r="AX54" s="186"/>
      <c r="AY54" s="192">
        <v>105000</v>
      </c>
      <c r="AZ54" s="185"/>
      <c r="BA54" s="185"/>
      <c r="BB54" s="186"/>
      <c r="BC54" s="192">
        <v>0</v>
      </c>
      <c r="BD54" s="185"/>
      <c r="BE54" s="185"/>
      <c r="BF54" s="186"/>
      <c r="BG54" s="100"/>
      <c r="BH54" s="28">
        <f t="shared" si="12"/>
        <v>175000</v>
      </c>
      <c r="BI54" s="83">
        <f t="shared" ref="BI54:BI61" si="14">BH54/$DU$61</f>
        <v>0.1713111417663426</v>
      </c>
      <c r="BJ54" s="100"/>
      <c r="BK54" s="100"/>
      <c r="BL54" s="111"/>
      <c r="BM54" s="111"/>
      <c r="BN54" s="100"/>
      <c r="BO54" s="226">
        <v>0</v>
      </c>
      <c r="BP54" s="198"/>
      <c r="BQ54" s="198"/>
      <c r="BR54" s="227"/>
      <c r="BS54" s="198">
        <v>0</v>
      </c>
      <c r="BT54" s="185"/>
      <c r="BU54" s="185"/>
      <c r="BV54" s="185"/>
      <c r="BW54" s="186"/>
      <c r="BX54" s="192">
        <v>0</v>
      </c>
      <c r="BY54" s="185"/>
      <c r="BZ54" s="185"/>
      <c r="CA54" s="185"/>
      <c r="CB54" s="186"/>
      <c r="CC54" s="192">
        <v>14100</v>
      </c>
      <c r="CD54" s="185"/>
      <c r="CE54" s="185"/>
      <c r="CF54" s="185"/>
      <c r="CG54" s="186"/>
      <c r="CH54" s="192">
        <v>4200</v>
      </c>
      <c r="CI54" s="185"/>
      <c r="CJ54" s="185"/>
      <c r="CK54" s="186"/>
      <c r="CL54" s="192">
        <v>11400</v>
      </c>
      <c r="CM54" s="185"/>
      <c r="CN54" s="185"/>
      <c r="CO54" s="186"/>
      <c r="CP54" s="192">
        <v>9690</v>
      </c>
      <c r="CQ54" s="185"/>
      <c r="CR54" s="185"/>
      <c r="CS54" s="186"/>
      <c r="CT54" s="192">
        <v>0</v>
      </c>
      <c r="CU54" s="185"/>
      <c r="CV54" s="185"/>
      <c r="CW54" s="185"/>
      <c r="CX54" s="186"/>
      <c r="CY54" s="192">
        <v>21600</v>
      </c>
      <c r="CZ54" s="185"/>
      <c r="DA54" s="185"/>
      <c r="DB54" s="185"/>
      <c r="DC54" s="186"/>
      <c r="DD54" s="192">
        <v>0</v>
      </c>
      <c r="DE54" s="185"/>
      <c r="DF54" s="185"/>
      <c r="DG54" s="185"/>
      <c r="DH54" s="186"/>
      <c r="DI54" s="192">
        <v>106290</v>
      </c>
      <c r="DJ54" s="185"/>
      <c r="DK54" s="185"/>
      <c r="DL54" s="186"/>
      <c r="DM54" s="192">
        <v>0</v>
      </c>
      <c r="DN54" s="185"/>
      <c r="DO54" s="185"/>
      <c r="DP54" s="186"/>
      <c r="DQ54" s="100"/>
      <c r="DR54" s="100"/>
      <c r="DS54" s="100"/>
      <c r="DU54" s="28">
        <f t="shared" si="13"/>
        <v>167280</v>
      </c>
      <c r="DV54" s="83">
        <f t="shared" ref="DV54:DV61" si="15">DU54/$DU$61</f>
        <v>0.16375387311242168</v>
      </c>
      <c r="DW54" s="107">
        <f>DU54-BH54</f>
        <v>-7720</v>
      </c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22"/>
      <c r="EZ54" s="194">
        <v>216675</v>
      </c>
      <c r="FA54" s="194"/>
      <c r="FB54" s="194">
        <v>18325</v>
      </c>
      <c r="FC54" s="30">
        <v>8.4573670243452179E-2</v>
      </c>
      <c r="FD54" s="22"/>
      <c r="FE54" s="194">
        <v>185000</v>
      </c>
      <c r="FF54" s="22"/>
      <c r="FG54" s="22"/>
      <c r="FH54" s="22"/>
    </row>
    <row r="55" spans="4:164" ht="15" thickBot="1">
      <c r="D55" s="26" t="s">
        <v>83</v>
      </c>
      <c r="E55" s="192">
        <v>0</v>
      </c>
      <c r="F55" s="198"/>
      <c r="G55" s="198"/>
      <c r="H55" s="199"/>
      <c r="I55" s="192">
        <v>0</v>
      </c>
      <c r="J55" s="185"/>
      <c r="K55" s="185"/>
      <c r="L55" s="185"/>
      <c r="M55" s="186"/>
      <c r="N55" s="192">
        <v>0</v>
      </c>
      <c r="O55" s="185"/>
      <c r="P55" s="185"/>
      <c r="Q55" s="185"/>
      <c r="R55" s="186"/>
      <c r="S55" s="192">
        <v>5000</v>
      </c>
      <c r="T55" s="185"/>
      <c r="U55" s="185"/>
      <c r="V55" s="185"/>
      <c r="W55" s="186"/>
      <c r="X55" s="192">
        <v>0</v>
      </c>
      <c r="Y55" s="185"/>
      <c r="Z55" s="185"/>
      <c r="AA55" s="186"/>
      <c r="AB55" s="192">
        <v>6000</v>
      </c>
      <c r="AC55" s="185"/>
      <c r="AD55" s="185"/>
      <c r="AE55" s="186"/>
      <c r="AF55" s="192">
        <v>8000</v>
      </c>
      <c r="AG55" s="185"/>
      <c r="AH55" s="185"/>
      <c r="AI55" s="186"/>
      <c r="AJ55" s="192">
        <v>0</v>
      </c>
      <c r="AK55" s="185"/>
      <c r="AL55" s="185"/>
      <c r="AM55" s="185"/>
      <c r="AN55" s="186"/>
      <c r="AO55" s="192">
        <v>7000</v>
      </c>
      <c r="AP55" s="185"/>
      <c r="AQ55" s="185"/>
      <c r="AR55" s="185"/>
      <c r="AS55" s="186"/>
      <c r="AT55" s="192">
        <v>3000</v>
      </c>
      <c r="AU55" s="185"/>
      <c r="AV55" s="185"/>
      <c r="AW55" s="185"/>
      <c r="AX55" s="186"/>
      <c r="AY55" s="192">
        <v>0</v>
      </c>
      <c r="AZ55" s="185"/>
      <c r="BA55" s="185"/>
      <c r="BB55" s="186"/>
      <c r="BC55" s="192">
        <v>0</v>
      </c>
      <c r="BD55" s="185"/>
      <c r="BE55" s="185"/>
      <c r="BF55" s="186"/>
      <c r="BG55" s="100"/>
      <c r="BH55" s="28">
        <f t="shared" si="12"/>
        <v>29000</v>
      </c>
      <c r="BI55" s="83">
        <f t="shared" si="14"/>
        <v>2.8388703492708205E-2</v>
      </c>
      <c r="BJ55" s="100"/>
      <c r="BK55" s="100"/>
      <c r="BL55" s="111"/>
      <c r="BM55" s="111"/>
      <c r="BN55" s="100"/>
      <c r="BO55" s="226">
        <v>0</v>
      </c>
      <c r="BP55" s="198"/>
      <c r="BQ55" s="198"/>
      <c r="BR55" s="227"/>
      <c r="BS55" s="198">
        <v>0</v>
      </c>
      <c r="BT55" s="185"/>
      <c r="BU55" s="185"/>
      <c r="BV55" s="185"/>
      <c r="BW55" s="186"/>
      <c r="BX55" s="192">
        <v>0</v>
      </c>
      <c r="BY55" s="185"/>
      <c r="BZ55" s="185"/>
      <c r="CA55" s="185"/>
      <c r="CB55" s="186"/>
      <c r="CC55" s="192"/>
      <c r="CD55" s="185"/>
      <c r="CE55" s="185"/>
      <c r="CF55" s="185"/>
      <c r="CG55" s="186"/>
      <c r="CH55" s="192">
        <v>1420</v>
      </c>
      <c r="CI55" s="185"/>
      <c r="CJ55" s="185"/>
      <c r="CK55" s="186"/>
      <c r="CL55" s="192">
        <v>5495</v>
      </c>
      <c r="CM55" s="185"/>
      <c r="CN55" s="185"/>
      <c r="CO55" s="186"/>
      <c r="CP55" s="192">
        <v>7050</v>
      </c>
      <c r="CQ55" s="185"/>
      <c r="CR55" s="185"/>
      <c r="CS55" s="186"/>
      <c r="CT55" s="192">
        <v>7875</v>
      </c>
      <c r="CU55" s="185"/>
      <c r="CV55" s="185"/>
      <c r="CW55" s="185"/>
      <c r="CX55" s="186"/>
      <c r="CY55" s="192">
        <v>9825</v>
      </c>
      <c r="CZ55" s="185"/>
      <c r="DA55" s="185"/>
      <c r="DB55" s="185"/>
      <c r="DC55" s="186"/>
      <c r="DD55" s="192">
        <v>3135</v>
      </c>
      <c r="DE55" s="185"/>
      <c r="DF55" s="185"/>
      <c r="DG55" s="185"/>
      <c r="DH55" s="186"/>
      <c r="DI55" s="192">
        <v>2613</v>
      </c>
      <c r="DJ55" s="185"/>
      <c r="DK55" s="185"/>
      <c r="DL55" s="186"/>
      <c r="DM55" s="192">
        <v>0</v>
      </c>
      <c r="DN55" s="185"/>
      <c r="DO55" s="185"/>
      <c r="DP55" s="186"/>
      <c r="DQ55" s="100"/>
      <c r="DR55" s="100"/>
      <c r="DS55" s="100"/>
      <c r="DU55" s="28">
        <f t="shared" si="13"/>
        <v>37413</v>
      </c>
      <c r="DV55" s="83">
        <f t="shared" si="15"/>
        <v>3.6624364268023867E-2</v>
      </c>
      <c r="DW55" s="107">
        <f>DU55-BH55</f>
        <v>8413</v>
      </c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22"/>
      <c r="EZ55" s="194">
        <v>32375</v>
      </c>
      <c r="FA55" s="194"/>
      <c r="FB55" s="194">
        <v>-3375</v>
      </c>
      <c r="FC55" s="30">
        <v>-0.10424710424710425</v>
      </c>
      <c r="FD55" s="22"/>
      <c r="FE55" s="194">
        <v>30000</v>
      </c>
      <c r="FF55" s="22"/>
      <c r="FG55" s="22"/>
      <c r="FH55" s="22"/>
    </row>
    <row r="56" spans="4:164" ht="15" thickBot="1">
      <c r="D56" s="26" t="s">
        <v>84</v>
      </c>
      <c r="E56" s="192">
        <v>15000</v>
      </c>
      <c r="F56" s="198"/>
      <c r="G56" s="198"/>
      <c r="H56" s="199"/>
      <c r="I56" s="192">
        <v>0</v>
      </c>
      <c r="J56" s="185"/>
      <c r="K56" s="185"/>
      <c r="L56" s="185"/>
      <c r="M56" s="186"/>
      <c r="N56" s="192">
        <v>0</v>
      </c>
      <c r="O56" s="185"/>
      <c r="P56" s="185"/>
      <c r="Q56" s="185"/>
      <c r="R56" s="186"/>
      <c r="S56" s="192">
        <v>2300</v>
      </c>
      <c r="T56" s="185"/>
      <c r="U56" s="185"/>
      <c r="V56" s="185"/>
      <c r="W56" s="186"/>
      <c r="X56" s="192">
        <v>0</v>
      </c>
      <c r="Y56" s="185"/>
      <c r="Z56" s="185"/>
      <c r="AA56" s="186"/>
      <c r="AB56" s="192">
        <v>0</v>
      </c>
      <c r="AC56" s="185"/>
      <c r="AD56" s="185"/>
      <c r="AE56" s="186"/>
      <c r="AF56" s="192">
        <v>0</v>
      </c>
      <c r="AG56" s="185"/>
      <c r="AH56" s="185"/>
      <c r="AI56" s="186"/>
      <c r="AJ56" s="192">
        <v>0</v>
      </c>
      <c r="AK56" s="185"/>
      <c r="AL56" s="185"/>
      <c r="AM56" s="185"/>
      <c r="AN56" s="186"/>
      <c r="AO56" s="192">
        <v>5000</v>
      </c>
      <c r="AP56" s="185"/>
      <c r="AQ56" s="185"/>
      <c r="AR56" s="185"/>
      <c r="AS56" s="186"/>
      <c r="AT56" s="192">
        <v>0</v>
      </c>
      <c r="AU56" s="185"/>
      <c r="AV56" s="185"/>
      <c r="AW56" s="185"/>
      <c r="AX56" s="186"/>
      <c r="AY56" s="192">
        <v>75000</v>
      </c>
      <c r="AZ56" s="185"/>
      <c r="BA56" s="185"/>
      <c r="BB56" s="186"/>
      <c r="BC56" s="192">
        <v>0</v>
      </c>
      <c r="BD56" s="185"/>
      <c r="BE56" s="185"/>
      <c r="BF56" s="186"/>
      <c r="BG56" s="100"/>
      <c r="BH56" s="28">
        <f t="shared" si="12"/>
        <v>97300</v>
      </c>
      <c r="BI56" s="83">
        <f t="shared" si="14"/>
        <v>9.5248994822086486E-2</v>
      </c>
      <c r="BJ56" s="100"/>
      <c r="BK56" s="100"/>
      <c r="BL56" s="111"/>
      <c r="BM56" s="111"/>
      <c r="BN56" s="100"/>
      <c r="BO56" s="226">
        <v>0</v>
      </c>
      <c r="BP56" s="198"/>
      <c r="BQ56" s="198"/>
      <c r="BR56" s="227"/>
      <c r="BS56" s="198">
        <v>0</v>
      </c>
      <c r="BT56" s="185"/>
      <c r="BU56" s="185"/>
      <c r="BV56" s="185"/>
      <c r="BW56" s="186"/>
      <c r="BX56" s="192">
        <v>16415</v>
      </c>
      <c r="BY56" s="185"/>
      <c r="BZ56" s="185"/>
      <c r="CA56" s="185"/>
      <c r="CB56" s="186"/>
      <c r="CC56" s="192">
        <v>2300</v>
      </c>
      <c r="CD56" s="185"/>
      <c r="CE56" s="185"/>
      <c r="CF56" s="185"/>
      <c r="CG56" s="186"/>
      <c r="CH56" s="192">
        <v>23815</v>
      </c>
      <c r="CI56" s="185"/>
      <c r="CJ56" s="185"/>
      <c r="CK56" s="186"/>
      <c r="CL56" s="192">
        <v>0</v>
      </c>
      <c r="CM56" s="185"/>
      <c r="CN56" s="185"/>
      <c r="CO56" s="186"/>
      <c r="CP56" s="192">
        <v>0</v>
      </c>
      <c r="CQ56" s="185"/>
      <c r="CR56" s="185"/>
      <c r="CS56" s="186"/>
      <c r="CT56" s="192">
        <v>0</v>
      </c>
      <c r="CU56" s="185"/>
      <c r="CV56" s="185"/>
      <c r="CW56" s="185"/>
      <c r="CX56" s="186"/>
      <c r="CY56" s="192">
        <v>980</v>
      </c>
      <c r="CZ56" s="185"/>
      <c r="DA56" s="185"/>
      <c r="DB56" s="185"/>
      <c r="DC56" s="186"/>
      <c r="DD56" s="192">
        <v>102712.17</v>
      </c>
      <c r="DE56" s="185"/>
      <c r="DF56" s="185"/>
      <c r="DG56" s="185"/>
      <c r="DH56" s="186"/>
      <c r="DI56" s="192">
        <v>480</v>
      </c>
      <c r="DJ56" s="185"/>
      <c r="DK56" s="185"/>
      <c r="DL56" s="186"/>
      <c r="DM56" s="192">
        <v>0</v>
      </c>
      <c r="DN56" s="185"/>
      <c r="DO56" s="185"/>
      <c r="DP56" s="186"/>
      <c r="DQ56" s="100"/>
      <c r="DR56" s="100"/>
      <c r="DS56" s="100"/>
      <c r="DU56" s="28">
        <f t="shared" si="13"/>
        <v>146702.16999999998</v>
      </c>
      <c r="DV56" s="83">
        <f t="shared" si="15"/>
        <v>0.14360980709885765</v>
      </c>
      <c r="DW56" s="107">
        <f>DU56-BH56</f>
        <v>49402.169999999984</v>
      </c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22"/>
      <c r="EZ56" s="194">
        <v>96390</v>
      </c>
      <c r="FA56" s="194"/>
      <c r="FB56" s="194">
        <v>910</v>
      </c>
      <c r="FC56" s="30">
        <v>9.44081336238199E-3</v>
      </c>
      <c r="FD56" s="22"/>
      <c r="FE56" s="194">
        <v>100000</v>
      </c>
      <c r="FF56" s="22"/>
      <c r="FG56" s="22"/>
      <c r="FH56" s="22"/>
    </row>
    <row r="57" spans="4:164" ht="15" thickBot="1">
      <c r="D57" s="26" t="s">
        <v>85</v>
      </c>
      <c r="E57" s="192">
        <v>23000</v>
      </c>
      <c r="F57" s="198"/>
      <c r="G57" s="198"/>
      <c r="H57" s="199"/>
      <c r="I57" s="192">
        <v>0</v>
      </c>
      <c r="J57" s="185"/>
      <c r="K57" s="185"/>
      <c r="L57" s="185"/>
      <c r="M57" s="186"/>
      <c r="N57" s="192">
        <v>0</v>
      </c>
      <c r="O57" s="185"/>
      <c r="P57" s="185"/>
      <c r="Q57" s="185"/>
      <c r="R57" s="186"/>
      <c r="S57" s="192">
        <v>3846.68</v>
      </c>
      <c r="T57" s="185"/>
      <c r="U57" s="185"/>
      <c r="V57" s="185"/>
      <c r="W57" s="186"/>
      <c r="X57" s="192">
        <v>50000</v>
      </c>
      <c r="Y57" s="185"/>
      <c r="Z57" s="185"/>
      <c r="AA57" s="186"/>
      <c r="AB57" s="192">
        <v>0</v>
      </c>
      <c r="AC57" s="185"/>
      <c r="AD57" s="185"/>
      <c r="AE57" s="186"/>
      <c r="AF57" s="192">
        <v>0</v>
      </c>
      <c r="AG57" s="185"/>
      <c r="AH57" s="185"/>
      <c r="AI57" s="186"/>
      <c r="AJ57" s="192">
        <v>3846.68</v>
      </c>
      <c r="AK57" s="185"/>
      <c r="AL57" s="185"/>
      <c r="AM57" s="185"/>
      <c r="AN57" s="186"/>
      <c r="AO57" s="228">
        <v>5000</v>
      </c>
      <c r="AP57" s="210"/>
      <c r="AQ57" s="210"/>
      <c r="AR57" s="210"/>
      <c r="AS57" s="210"/>
      <c r="AT57" s="192">
        <v>0</v>
      </c>
      <c r="AU57" s="185"/>
      <c r="AV57" s="185"/>
      <c r="AW57" s="185"/>
      <c r="AX57" s="186"/>
      <c r="AY57" s="192">
        <v>5000</v>
      </c>
      <c r="AZ57" s="185"/>
      <c r="BA57" s="185"/>
      <c r="BB57" s="186"/>
      <c r="BC57" s="192">
        <v>0</v>
      </c>
      <c r="BD57" s="185"/>
      <c r="BE57" s="185"/>
      <c r="BF57" s="186"/>
      <c r="BG57" s="100"/>
      <c r="BH57" s="28">
        <f t="shared" si="12"/>
        <v>90693.359999999986</v>
      </c>
      <c r="BI57" s="83">
        <f t="shared" si="14"/>
        <v>8.8781617441291108E-2</v>
      </c>
      <c r="BJ57" s="100"/>
      <c r="BK57" s="100"/>
      <c r="BL57" s="111"/>
      <c r="BM57" s="111"/>
      <c r="BN57" s="100"/>
      <c r="BO57" s="226">
        <v>22311.43</v>
      </c>
      <c r="BP57" s="198"/>
      <c r="BQ57" s="198"/>
      <c r="BR57" s="227"/>
      <c r="BS57" s="198">
        <v>0</v>
      </c>
      <c r="BT57" s="185"/>
      <c r="BU57" s="185"/>
      <c r="BV57" s="185"/>
      <c r="BW57" s="186"/>
      <c r="BX57" s="192">
        <v>0</v>
      </c>
      <c r="BY57" s="185"/>
      <c r="BZ57" s="185"/>
      <c r="CA57" s="185"/>
      <c r="CB57" s="186"/>
      <c r="CC57" s="192">
        <v>3244.64</v>
      </c>
      <c r="CD57" s="185"/>
      <c r="CE57" s="185"/>
      <c r="CF57" s="185"/>
      <c r="CG57" s="186"/>
      <c r="CH57" s="192">
        <v>38264.339999999997</v>
      </c>
      <c r="CI57" s="185"/>
      <c r="CJ57" s="185"/>
      <c r="CK57" s="186"/>
      <c r="CL57" s="192">
        <v>0</v>
      </c>
      <c r="CM57" s="185"/>
      <c r="CN57" s="185"/>
      <c r="CO57" s="186"/>
      <c r="CP57" s="192">
        <v>2928.35</v>
      </c>
      <c r="CQ57" s="185"/>
      <c r="CR57" s="185"/>
      <c r="CS57" s="186"/>
      <c r="CT57" s="192">
        <v>0</v>
      </c>
      <c r="CU57" s="185"/>
      <c r="CV57" s="185"/>
      <c r="CW57" s="185"/>
      <c r="CX57" s="186"/>
      <c r="CY57" s="228">
        <v>4692.6400000000003</v>
      </c>
      <c r="CZ57" s="210"/>
      <c r="DA57" s="210"/>
      <c r="DB57" s="210"/>
      <c r="DC57" s="210"/>
      <c r="DD57" s="192">
        <v>0</v>
      </c>
      <c r="DE57" s="185"/>
      <c r="DF57" s="185"/>
      <c r="DG57" s="185"/>
      <c r="DH57" s="186"/>
      <c r="DI57" s="192">
        <v>4385.05</v>
      </c>
      <c r="DJ57" s="185"/>
      <c r="DK57" s="185"/>
      <c r="DL57" s="186"/>
      <c r="DM57" s="192">
        <v>0</v>
      </c>
      <c r="DN57" s="185"/>
      <c r="DO57" s="185"/>
      <c r="DP57" s="186"/>
      <c r="DQ57" s="100"/>
      <c r="DR57" s="100"/>
      <c r="DS57" s="100"/>
      <c r="DU57" s="28">
        <f t="shared" si="13"/>
        <v>75826.45</v>
      </c>
      <c r="DV57" s="83">
        <f t="shared" si="15"/>
        <v>7.422808986050565E-2</v>
      </c>
      <c r="DW57" s="107">
        <f>DU57-BH57</f>
        <v>-14866.909999999989</v>
      </c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22"/>
      <c r="EZ57" s="194">
        <v>74997.83</v>
      </c>
      <c r="FA57" s="194"/>
      <c r="FB57" s="194">
        <v>15695.529999999984</v>
      </c>
      <c r="FC57" s="30">
        <v>0.20927978849521359</v>
      </c>
      <c r="FD57" s="22"/>
      <c r="FE57" s="194">
        <v>110000</v>
      </c>
      <c r="FF57" s="22"/>
      <c r="FG57" s="22"/>
      <c r="FH57" s="22"/>
    </row>
    <row r="58" spans="4:164" ht="15" thickBot="1">
      <c r="D58" s="26" t="s">
        <v>86</v>
      </c>
      <c r="E58" s="192">
        <v>0</v>
      </c>
      <c r="F58" s="198"/>
      <c r="G58" s="198"/>
      <c r="H58" s="199"/>
      <c r="I58" s="192">
        <v>0</v>
      </c>
      <c r="J58" s="185"/>
      <c r="K58" s="185"/>
      <c r="L58" s="185"/>
      <c r="M58" s="186"/>
      <c r="N58" s="192">
        <v>0</v>
      </c>
      <c r="O58" s="185"/>
      <c r="P58" s="185"/>
      <c r="Q58" s="185"/>
      <c r="R58" s="186"/>
      <c r="S58" s="192">
        <v>0</v>
      </c>
      <c r="T58" s="185"/>
      <c r="U58" s="185"/>
      <c r="V58" s="185"/>
      <c r="W58" s="186"/>
      <c r="X58" s="192">
        <v>0</v>
      </c>
      <c r="Y58" s="185"/>
      <c r="Z58" s="185"/>
      <c r="AA58" s="186"/>
      <c r="AB58" s="192">
        <v>3271.46</v>
      </c>
      <c r="AC58" s="185"/>
      <c r="AD58" s="185"/>
      <c r="AE58" s="186"/>
      <c r="AF58" s="192">
        <v>9061.1299999999992</v>
      </c>
      <c r="AG58" s="185"/>
      <c r="AH58" s="185"/>
      <c r="AI58" s="186"/>
      <c r="AJ58" s="192">
        <v>0</v>
      </c>
      <c r="AK58" s="185"/>
      <c r="AL58" s="185"/>
      <c r="AM58" s="185"/>
      <c r="AN58" s="186"/>
      <c r="AO58" s="192">
        <v>4235.8900000000003</v>
      </c>
      <c r="AP58" s="185"/>
      <c r="AQ58" s="185"/>
      <c r="AR58" s="185"/>
      <c r="AS58" s="186"/>
      <c r="AT58" s="192">
        <v>1576.01</v>
      </c>
      <c r="AU58" s="185"/>
      <c r="AV58" s="185"/>
      <c r="AW58" s="185"/>
      <c r="AX58" s="186"/>
      <c r="AY58" s="192">
        <v>503.32</v>
      </c>
      <c r="AZ58" s="185"/>
      <c r="BA58" s="185"/>
      <c r="BB58" s="186"/>
      <c r="BC58" s="192">
        <v>0</v>
      </c>
      <c r="BD58" s="185"/>
      <c r="BE58" s="185"/>
      <c r="BF58" s="186"/>
      <c r="BG58" s="100"/>
      <c r="BH58" s="28">
        <f t="shared" si="12"/>
        <v>18647.809999999998</v>
      </c>
      <c r="BI58" s="85">
        <f t="shared" si="14"/>
        <v>1.8254729271667547E-2</v>
      </c>
      <c r="BJ58" s="100"/>
      <c r="BK58" s="100"/>
      <c r="BL58" s="111"/>
      <c r="BM58" s="111"/>
      <c r="BN58" s="100"/>
      <c r="BO58" s="226">
        <v>0</v>
      </c>
      <c r="BP58" s="198"/>
      <c r="BQ58" s="198"/>
      <c r="BR58" s="227"/>
      <c r="BS58" s="198">
        <v>0</v>
      </c>
      <c r="BT58" s="185"/>
      <c r="BU58" s="185"/>
      <c r="BV58" s="185"/>
      <c r="BW58" s="186"/>
      <c r="BX58" s="192">
        <v>0</v>
      </c>
      <c r="BY58" s="185"/>
      <c r="BZ58" s="185"/>
      <c r="CA58" s="185"/>
      <c r="CB58" s="186"/>
      <c r="CC58" s="192">
        <v>0</v>
      </c>
      <c r="CD58" s="185"/>
      <c r="CE58" s="185"/>
      <c r="CF58" s="185"/>
      <c r="CG58" s="186"/>
      <c r="CH58" s="192">
        <v>1004.92</v>
      </c>
      <c r="CI58" s="185"/>
      <c r="CJ58" s="185"/>
      <c r="CK58" s="186"/>
      <c r="CL58" s="192">
        <v>7505.08</v>
      </c>
      <c r="CM58" s="185"/>
      <c r="CN58" s="185"/>
      <c r="CO58" s="186"/>
      <c r="CP58" s="192">
        <v>5760.59</v>
      </c>
      <c r="CQ58" s="185"/>
      <c r="CR58" s="185"/>
      <c r="CS58" s="186"/>
      <c r="CT58" s="192">
        <v>6868.85</v>
      </c>
      <c r="CU58" s="185"/>
      <c r="CV58" s="185"/>
      <c r="CW58" s="185"/>
      <c r="CX58" s="186"/>
      <c r="CY58" s="192">
        <v>6643.52</v>
      </c>
      <c r="CZ58" s="185"/>
      <c r="DA58" s="185"/>
      <c r="DB58" s="185"/>
      <c r="DC58" s="186"/>
      <c r="DD58" s="192">
        <v>1468.35</v>
      </c>
      <c r="DE58" s="185"/>
      <c r="DF58" s="185"/>
      <c r="DG58" s="185"/>
      <c r="DH58" s="186"/>
      <c r="DI58" s="192">
        <v>755.09</v>
      </c>
      <c r="DJ58" s="185"/>
      <c r="DK58" s="185"/>
      <c r="DL58" s="186"/>
      <c r="DM58" s="192">
        <v>0</v>
      </c>
      <c r="DN58" s="185"/>
      <c r="DO58" s="185"/>
      <c r="DP58" s="186"/>
      <c r="DQ58" s="100"/>
      <c r="DR58" s="100"/>
      <c r="DS58" s="100"/>
      <c r="DU58" s="28">
        <f t="shared" si="13"/>
        <v>30006.400000000001</v>
      </c>
      <c r="DV58" s="85">
        <f t="shared" si="15"/>
        <v>2.9373889395986189E-2</v>
      </c>
      <c r="DW58" s="107">
        <f>DU58-BH58</f>
        <v>11358.590000000004</v>
      </c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22"/>
      <c r="EZ58" s="194">
        <v>21320.1</v>
      </c>
      <c r="FA58" s="194"/>
      <c r="FB58" s="194">
        <v>-2672.2900000000009</v>
      </c>
      <c r="FC58" s="30">
        <v>-0.12534134455279294</v>
      </c>
      <c r="FD58" s="22"/>
      <c r="FE58" s="194">
        <v>25000</v>
      </c>
      <c r="FF58" s="22"/>
      <c r="FG58" s="22"/>
      <c r="FH58" s="22"/>
    </row>
    <row r="59" spans="4:164" ht="15" thickBot="1">
      <c r="D59" s="26" t="s">
        <v>87</v>
      </c>
      <c r="E59" s="192">
        <v>0</v>
      </c>
      <c r="F59" s="198"/>
      <c r="G59" s="198"/>
      <c r="H59" s="199"/>
      <c r="I59" s="192">
        <v>0</v>
      </c>
      <c r="J59" s="185"/>
      <c r="K59" s="185"/>
      <c r="L59" s="185"/>
      <c r="M59" s="186"/>
      <c r="N59" s="192">
        <v>0</v>
      </c>
      <c r="O59" s="185"/>
      <c r="P59" s="185"/>
      <c r="Q59" s="185"/>
      <c r="R59" s="186"/>
      <c r="S59" s="192">
        <v>750</v>
      </c>
      <c r="T59" s="185"/>
      <c r="U59" s="185"/>
      <c r="V59" s="185"/>
      <c r="W59" s="186"/>
      <c r="X59" s="192">
        <v>1000</v>
      </c>
      <c r="Y59" s="185"/>
      <c r="Z59" s="185"/>
      <c r="AA59" s="186"/>
      <c r="AB59" s="192">
        <v>1500</v>
      </c>
      <c r="AC59" s="185"/>
      <c r="AD59" s="185"/>
      <c r="AE59" s="186"/>
      <c r="AF59" s="192">
        <v>3500</v>
      </c>
      <c r="AG59" s="185"/>
      <c r="AH59" s="185"/>
      <c r="AI59" s="186"/>
      <c r="AJ59" s="192">
        <v>1000</v>
      </c>
      <c r="AK59" s="185"/>
      <c r="AL59" s="185"/>
      <c r="AM59" s="185"/>
      <c r="AN59" s="186"/>
      <c r="AO59" s="192">
        <v>3500</v>
      </c>
      <c r="AP59" s="185"/>
      <c r="AQ59" s="185"/>
      <c r="AR59" s="185"/>
      <c r="AS59" s="186"/>
      <c r="AT59" s="192">
        <v>0</v>
      </c>
      <c r="AU59" s="185"/>
      <c r="AV59" s="185"/>
      <c r="AW59" s="185"/>
      <c r="AX59" s="186"/>
      <c r="AY59" s="192">
        <v>1700</v>
      </c>
      <c r="AZ59" s="185"/>
      <c r="BA59" s="185"/>
      <c r="BB59" s="186"/>
      <c r="BC59" s="192">
        <v>0</v>
      </c>
      <c r="BD59" s="185"/>
      <c r="BE59" s="185"/>
      <c r="BF59" s="186"/>
      <c r="BG59" s="100"/>
      <c r="BH59" s="28">
        <f t="shared" si="12"/>
        <v>12950</v>
      </c>
      <c r="BI59" s="84">
        <f t="shared" si="14"/>
        <v>1.2677024490709354E-2</v>
      </c>
      <c r="BJ59" s="100"/>
      <c r="BK59" s="100"/>
      <c r="BL59" s="111"/>
      <c r="BM59" s="111"/>
      <c r="BN59" s="100"/>
      <c r="BO59" s="226">
        <v>0</v>
      </c>
      <c r="BP59" s="198"/>
      <c r="BQ59" s="198"/>
      <c r="BR59" s="227"/>
      <c r="BS59" s="198">
        <v>0</v>
      </c>
      <c r="BT59" s="185"/>
      <c r="BU59" s="185"/>
      <c r="BV59" s="185"/>
      <c r="BW59" s="186"/>
      <c r="BX59" s="192">
        <v>0</v>
      </c>
      <c r="BY59" s="185"/>
      <c r="BZ59" s="185"/>
      <c r="CA59" s="185"/>
      <c r="CB59" s="186"/>
      <c r="CC59" s="192">
        <v>1913.8</v>
      </c>
      <c r="CD59" s="185"/>
      <c r="CE59" s="185"/>
      <c r="CF59" s="185"/>
      <c r="CG59" s="186"/>
      <c r="CH59" s="192">
        <v>849.1</v>
      </c>
      <c r="CI59" s="185"/>
      <c r="CJ59" s="185"/>
      <c r="CK59" s="186"/>
      <c r="CL59" s="192">
        <v>6596.94</v>
      </c>
      <c r="CM59" s="185"/>
      <c r="CN59" s="185"/>
      <c r="CO59" s="186"/>
      <c r="CP59" s="192">
        <v>2881.2</v>
      </c>
      <c r="CQ59" s="185"/>
      <c r="CR59" s="185"/>
      <c r="CS59" s="186"/>
      <c r="CT59" s="192"/>
      <c r="CU59" s="185"/>
      <c r="CV59" s="185"/>
      <c r="CW59" s="185"/>
      <c r="CX59" s="186"/>
      <c r="CY59" s="192">
        <v>1806</v>
      </c>
      <c r="CZ59" s="185"/>
      <c r="DA59" s="185"/>
      <c r="DB59" s="185"/>
      <c r="DC59" s="186"/>
      <c r="DD59" s="192">
        <v>0</v>
      </c>
      <c r="DE59" s="185"/>
      <c r="DF59" s="185"/>
      <c r="DG59" s="185"/>
      <c r="DH59" s="186"/>
      <c r="DI59" s="192">
        <v>483.7</v>
      </c>
      <c r="DJ59" s="185"/>
      <c r="DK59" s="185"/>
      <c r="DL59" s="186"/>
      <c r="DM59" s="192">
        <v>0</v>
      </c>
      <c r="DN59" s="185"/>
      <c r="DO59" s="185"/>
      <c r="DP59" s="186"/>
      <c r="DQ59" s="100"/>
      <c r="DR59" s="100"/>
      <c r="DS59" s="100"/>
      <c r="DU59" s="28">
        <f t="shared" si="13"/>
        <v>14530.740000000002</v>
      </c>
      <c r="DV59" s="84">
        <f t="shared" si="15"/>
        <v>1.4224443772056374E-2</v>
      </c>
      <c r="DW59" s="107">
        <f>DU59-BH59</f>
        <v>1580.7400000000016</v>
      </c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22"/>
      <c r="EZ59" s="194">
        <v>12741.55</v>
      </c>
      <c r="FA59" s="194"/>
      <c r="FB59" s="194">
        <v>208.45000000000073</v>
      </c>
      <c r="FC59" s="30">
        <v>1.6359862026205662E-2</v>
      </c>
      <c r="FD59" s="22"/>
      <c r="FE59" s="194">
        <v>25000</v>
      </c>
      <c r="FF59" s="22"/>
      <c r="FG59" s="22"/>
      <c r="FH59" s="22"/>
    </row>
    <row r="60" spans="4:164" ht="15" thickBot="1">
      <c r="D60" s="41" t="s">
        <v>88</v>
      </c>
      <c r="E60" s="192">
        <v>19897.650000000001</v>
      </c>
      <c r="F60" s="185"/>
      <c r="G60" s="185"/>
      <c r="H60" s="186"/>
      <c r="I60" s="192">
        <v>19897.650000000001</v>
      </c>
      <c r="J60" s="185"/>
      <c r="K60" s="185"/>
      <c r="L60" s="185"/>
      <c r="M60" s="186"/>
      <c r="N60" s="192">
        <v>19897.650000000001</v>
      </c>
      <c r="O60" s="185"/>
      <c r="P60" s="185"/>
      <c r="Q60" s="185"/>
      <c r="R60" s="186"/>
      <c r="S60" s="192">
        <v>19897.650000000001</v>
      </c>
      <c r="T60" s="185"/>
      <c r="U60" s="185"/>
      <c r="V60" s="185"/>
      <c r="W60" s="186"/>
      <c r="X60" s="192">
        <v>19897.650000000001</v>
      </c>
      <c r="Y60" s="185"/>
      <c r="Z60" s="185"/>
      <c r="AA60" s="186"/>
      <c r="AB60" s="192">
        <v>19897.650000000001</v>
      </c>
      <c r="AC60" s="185"/>
      <c r="AD60" s="185"/>
      <c r="AE60" s="186"/>
      <c r="AF60" s="192">
        <v>19897.650000000001</v>
      </c>
      <c r="AG60" s="185"/>
      <c r="AH60" s="185"/>
      <c r="AI60" s="186"/>
      <c r="AJ60" s="192">
        <v>19897.650000000001</v>
      </c>
      <c r="AK60" s="185"/>
      <c r="AL60" s="185"/>
      <c r="AM60" s="185"/>
      <c r="AN60" s="186"/>
      <c r="AO60" s="192">
        <v>19897.650000000001</v>
      </c>
      <c r="AP60" s="185"/>
      <c r="AQ60" s="185"/>
      <c r="AR60" s="185"/>
      <c r="AS60" s="186"/>
      <c r="AT60" s="192">
        <v>19897.650000000001</v>
      </c>
      <c r="AU60" s="185"/>
      <c r="AV60" s="185"/>
      <c r="AW60" s="185"/>
      <c r="AX60" s="186"/>
      <c r="AY60" s="192">
        <v>19897.650000000001</v>
      </c>
      <c r="AZ60" s="185"/>
      <c r="BA60" s="185"/>
      <c r="BB60" s="186"/>
      <c r="BC60" s="192">
        <v>19897.650000000001</v>
      </c>
      <c r="BD60" s="185"/>
      <c r="BE60" s="185"/>
      <c r="BF60" s="186"/>
      <c r="BG60" s="100"/>
      <c r="BH60" s="28">
        <f t="shared" si="12"/>
        <v>238771.79999999996</v>
      </c>
      <c r="BI60" s="83">
        <f t="shared" si="14"/>
        <v>0.23373868388345598</v>
      </c>
      <c r="BJ60" s="100"/>
      <c r="BK60" s="100"/>
      <c r="BL60" s="111"/>
      <c r="BM60" s="111"/>
      <c r="BN60" s="100"/>
      <c r="BO60" s="226">
        <v>19897.650000000001</v>
      </c>
      <c r="BP60" s="185"/>
      <c r="BQ60" s="185"/>
      <c r="BR60" s="217"/>
      <c r="BS60" s="198">
        <v>19897.650000000001</v>
      </c>
      <c r="BT60" s="185"/>
      <c r="BU60" s="185"/>
      <c r="BV60" s="185"/>
      <c r="BW60" s="186"/>
      <c r="BX60" s="192">
        <v>19897.650000000001</v>
      </c>
      <c r="BY60" s="185"/>
      <c r="BZ60" s="185"/>
      <c r="CA60" s="185"/>
      <c r="CB60" s="186"/>
      <c r="CC60" s="192">
        <v>19897.650000000001</v>
      </c>
      <c r="CD60" s="185"/>
      <c r="CE60" s="185"/>
      <c r="CF60" s="185"/>
      <c r="CG60" s="186"/>
      <c r="CH60" s="192">
        <v>19897.650000000001</v>
      </c>
      <c r="CI60" s="185"/>
      <c r="CJ60" s="185"/>
      <c r="CK60" s="186"/>
      <c r="CL60" s="192">
        <v>19897.650000000001</v>
      </c>
      <c r="CM60" s="185"/>
      <c r="CN60" s="185"/>
      <c r="CO60" s="186"/>
      <c r="CP60" s="192">
        <v>19897.650000000001</v>
      </c>
      <c r="CQ60" s="185"/>
      <c r="CR60" s="185"/>
      <c r="CS60" s="186"/>
      <c r="CT60" s="192">
        <v>19897.650000000001</v>
      </c>
      <c r="CU60" s="185"/>
      <c r="CV60" s="185"/>
      <c r="CW60" s="185"/>
      <c r="CX60" s="186"/>
      <c r="CY60" s="192">
        <v>19897.650000000001</v>
      </c>
      <c r="CZ60" s="185"/>
      <c r="DA60" s="185"/>
      <c r="DB60" s="185"/>
      <c r="DC60" s="186"/>
      <c r="DD60" s="192">
        <v>19897.650000000001</v>
      </c>
      <c r="DE60" s="185"/>
      <c r="DF60" s="185"/>
      <c r="DG60" s="185"/>
      <c r="DH60" s="186"/>
      <c r="DI60" s="192">
        <v>19897.650000000001</v>
      </c>
      <c r="DJ60" s="185"/>
      <c r="DK60" s="185"/>
      <c r="DL60" s="186"/>
      <c r="DM60" s="192">
        <v>19897.650000000001</v>
      </c>
      <c r="DN60" s="185"/>
      <c r="DO60" s="185"/>
      <c r="DP60" s="186"/>
      <c r="DQ60" s="100"/>
      <c r="DR60" s="100"/>
      <c r="DS60" s="100"/>
      <c r="DU60" s="28">
        <f t="shared" si="13"/>
        <v>238771.79999999996</v>
      </c>
      <c r="DV60" s="83">
        <f t="shared" si="15"/>
        <v>0.23373868388345598</v>
      </c>
      <c r="DW60" s="107">
        <f>DU60-BH60</f>
        <v>0</v>
      </c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22"/>
      <c r="EZ60" s="194">
        <v>233707.5</v>
      </c>
      <c r="FA60" s="194"/>
      <c r="FB60" s="194">
        <v>5064.2999999999593</v>
      </c>
      <c r="FC60" s="30">
        <v>2.1669394435351708E-2</v>
      </c>
      <c r="FD60" s="22"/>
      <c r="FE60" s="194">
        <v>230625</v>
      </c>
      <c r="FF60" s="22"/>
      <c r="FG60" s="22"/>
      <c r="FH60" s="22"/>
    </row>
    <row r="61" spans="4:164" ht="18.95" thickBot="1">
      <c r="D61" s="43" t="s">
        <v>89</v>
      </c>
      <c r="E61" s="132">
        <f>SUM(E53:H60)</f>
        <v>62657.902702702704</v>
      </c>
      <c r="F61" s="212"/>
      <c r="G61" s="212"/>
      <c r="H61" s="213"/>
      <c r="I61" s="132">
        <f>SUM(I53:M60)</f>
        <v>23546.906756756758</v>
      </c>
      <c r="J61" s="212"/>
      <c r="K61" s="212"/>
      <c r="L61" s="212"/>
      <c r="M61" s="213"/>
      <c r="N61" s="132">
        <f>SUM(N53:R60)</f>
        <v>38381.575675675675</v>
      </c>
      <c r="O61" s="212"/>
      <c r="P61" s="212"/>
      <c r="Q61" s="212"/>
      <c r="R61" s="213"/>
      <c r="S61" s="132">
        <f>SUM(S53:W60)</f>
        <v>71578.269189189188</v>
      </c>
      <c r="T61" s="212"/>
      <c r="U61" s="212"/>
      <c r="V61" s="212"/>
      <c r="W61" s="213"/>
      <c r="X61" s="132">
        <f>SUM(X53:AA60)</f>
        <v>116444.34967891892</v>
      </c>
      <c r="Y61" s="212"/>
      <c r="Z61" s="212"/>
      <c r="AA61" s="213"/>
      <c r="AB61" s="132">
        <f>SUM(AB53:AE60)</f>
        <v>103211.61309459459</v>
      </c>
      <c r="AC61" s="212"/>
      <c r="AD61" s="212"/>
      <c r="AE61" s="213"/>
      <c r="AF61" s="132">
        <f>SUM(AF53:AI60)</f>
        <v>104881.84899999999</v>
      </c>
      <c r="AG61" s="212"/>
      <c r="AH61" s="212"/>
      <c r="AI61" s="213"/>
      <c r="AJ61" s="132">
        <f>SUM(AJ53:AN60)</f>
        <v>47799.523243243239</v>
      </c>
      <c r="AK61" s="212"/>
      <c r="AL61" s="212"/>
      <c r="AM61" s="212"/>
      <c r="AN61" s="213"/>
      <c r="AO61" s="132">
        <f>SUM(AO53:AS60)</f>
        <v>102232.53054054055</v>
      </c>
      <c r="AP61" s="212"/>
      <c r="AQ61" s="212"/>
      <c r="AR61" s="212"/>
      <c r="AS61" s="213"/>
      <c r="AT61" s="132">
        <f>SUM(AT53:AX60)</f>
        <v>40481.732972972968</v>
      </c>
      <c r="AU61" s="212"/>
      <c r="AV61" s="212"/>
      <c r="AW61" s="212"/>
      <c r="AX61" s="213"/>
      <c r="AY61" s="132">
        <f>SUM(AY53:BB60)</f>
        <v>241594.55581081082</v>
      </c>
      <c r="AZ61" s="212"/>
      <c r="BA61" s="212"/>
      <c r="BB61" s="213"/>
      <c r="BC61" s="132">
        <f>SUM(BC53:BF60)</f>
        <v>25687.804054054053</v>
      </c>
      <c r="BD61" s="212"/>
      <c r="BE61" s="212"/>
      <c r="BF61" s="213"/>
      <c r="BG61" s="104"/>
      <c r="BH61" s="89">
        <f>SUM(BH53:BH60)</f>
        <v>978498.61271945934</v>
      </c>
      <c r="BI61" s="82">
        <f t="shared" si="14"/>
        <v>0.95787265463858784</v>
      </c>
      <c r="BJ61" s="100"/>
      <c r="BK61" s="100"/>
      <c r="BL61" s="111"/>
      <c r="BM61" s="111"/>
      <c r="BN61" s="100"/>
      <c r="BO61" s="133">
        <f>SUM(BO53:BR60)</f>
        <v>44917.020000000004</v>
      </c>
      <c r="BP61" s="229"/>
      <c r="BQ61" s="229"/>
      <c r="BR61" s="230"/>
      <c r="BS61" s="132">
        <f>SUM(BS53:BW60)</f>
        <v>23642.870000000003</v>
      </c>
      <c r="BT61" s="212"/>
      <c r="BU61" s="212"/>
      <c r="BV61" s="212"/>
      <c r="BW61" s="213"/>
      <c r="BX61" s="132">
        <f>SUM(BX53:CB60)</f>
        <v>43771.25</v>
      </c>
      <c r="BY61" s="212"/>
      <c r="BZ61" s="212"/>
      <c r="CA61" s="212"/>
      <c r="CB61" s="213"/>
      <c r="CC61" s="132">
        <f>SUM(CC53:CG60)</f>
        <v>62024.55</v>
      </c>
      <c r="CD61" s="212"/>
      <c r="CE61" s="212"/>
      <c r="CF61" s="212"/>
      <c r="CG61" s="213"/>
      <c r="CH61" s="132">
        <f>SUM(CH53:CK60)</f>
        <v>133038.6</v>
      </c>
      <c r="CI61" s="212"/>
      <c r="CJ61" s="212"/>
      <c r="CK61" s="213"/>
      <c r="CL61" s="132">
        <f>SUM(CL53:CO60)</f>
        <v>110510.31</v>
      </c>
      <c r="CM61" s="212"/>
      <c r="CN61" s="212"/>
      <c r="CO61" s="213"/>
      <c r="CP61" s="132">
        <f>SUM(CP53:CS60)</f>
        <v>99288.640000000014</v>
      </c>
      <c r="CQ61" s="212"/>
      <c r="CR61" s="212"/>
      <c r="CS61" s="213"/>
      <c r="CT61" s="132">
        <f>SUM(CT53:CX60)</f>
        <v>63564.08</v>
      </c>
      <c r="CU61" s="212"/>
      <c r="CV61" s="212"/>
      <c r="CW61" s="212"/>
      <c r="CX61" s="213"/>
      <c r="CY61" s="132">
        <f>SUM(CY53:DC60)</f>
        <v>101481.06</v>
      </c>
      <c r="CZ61" s="212"/>
      <c r="DA61" s="212"/>
      <c r="DB61" s="212"/>
      <c r="DC61" s="213"/>
      <c r="DD61" s="132">
        <f>SUM(DD53:DH60)</f>
        <v>157207.35</v>
      </c>
      <c r="DE61" s="212"/>
      <c r="DF61" s="212"/>
      <c r="DG61" s="212"/>
      <c r="DH61" s="213"/>
      <c r="DI61" s="132">
        <f>SUM(DI53:DL60)</f>
        <v>160143.91999999998</v>
      </c>
      <c r="DJ61" s="212"/>
      <c r="DK61" s="212"/>
      <c r="DL61" s="213"/>
      <c r="DM61" s="132">
        <f>SUM(DM53:DP60)</f>
        <v>21943.440000000002</v>
      </c>
      <c r="DN61" s="212"/>
      <c r="DO61" s="212"/>
      <c r="DP61" s="213"/>
      <c r="DQ61" s="104"/>
      <c r="DR61" s="104"/>
      <c r="DS61" s="104"/>
      <c r="DU61" s="89">
        <f>SUM(DU53:DU60)</f>
        <v>1021533.0899999999</v>
      </c>
      <c r="DV61" s="82">
        <f t="shared" si="15"/>
        <v>1</v>
      </c>
      <c r="DW61" s="107">
        <f>DU61-BH61</f>
        <v>43034.477280540508</v>
      </c>
      <c r="DX61" s="99"/>
      <c r="DY61" s="99"/>
      <c r="DZ61" s="99"/>
      <c r="EA61" s="99"/>
      <c r="EB61" s="99"/>
      <c r="EC61" s="99"/>
      <c r="ED61" s="99"/>
      <c r="EE61" s="99"/>
      <c r="EF61" s="99"/>
      <c r="EG61" s="99"/>
      <c r="EH61" s="99"/>
      <c r="EI61" s="99"/>
      <c r="EJ61" s="99"/>
      <c r="EK61" s="99"/>
      <c r="EL61" s="99"/>
      <c r="EM61" s="99"/>
      <c r="EN61" s="99"/>
      <c r="EO61" s="99"/>
      <c r="EP61" s="99"/>
      <c r="EQ61" s="99"/>
      <c r="ER61" s="99"/>
      <c r="ES61" s="99"/>
      <c r="ET61" s="99"/>
      <c r="EU61" s="99"/>
      <c r="EV61" s="99"/>
      <c r="EW61" s="99"/>
      <c r="EX61" s="99"/>
      <c r="EY61" s="63"/>
      <c r="EZ61" s="53">
        <v>688206.98</v>
      </c>
      <c r="FA61" s="194"/>
      <c r="FB61" s="194">
        <v>34155.990000000107</v>
      </c>
      <c r="FC61" s="30">
        <v>4.9630403341739002E-2</v>
      </c>
      <c r="FD61" s="63"/>
      <c r="FE61" s="53">
        <v>705625</v>
      </c>
      <c r="FF61" s="63"/>
      <c r="FG61" s="63"/>
      <c r="FH61" s="63"/>
    </row>
    <row r="63" spans="4:164" ht="15.75" customHeight="1" thickBot="1"/>
    <row r="64" spans="4:164" ht="18.95" thickBot="1">
      <c r="D64" s="43" t="s">
        <v>90</v>
      </c>
      <c r="E64" s="128">
        <f>E61+E38</f>
        <v>116598.44324324324</v>
      </c>
      <c r="F64" s="185"/>
      <c r="G64" s="185"/>
      <c r="H64" s="186"/>
      <c r="I64" s="128">
        <f>I61+I38</f>
        <v>64898.258108108101</v>
      </c>
      <c r="J64" s="185"/>
      <c r="K64" s="185"/>
      <c r="L64" s="185"/>
      <c r="M64" s="186"/>
      <c r="N64" s="128">
        <f>N61+N38</f>
        <v>134516.71081081079</v>
      </c>
      <c r="O64" s="185"/>
      <c r="P64" s="185"/>
      <c r="Q64" s="185"/>
      <c r="R64" s="186"/>
      <c r="S64" s="128">
        <f>S61+S38</f>
        <v>352416.107027027</v>
      </c>
      <c r="T64" s="185"/>
      <c r="U64" s="185"/>
      <c r="V64" s="185"/>
      <c r="W64" s="186"/>
      <c r="X64" s="128">
        <f>X61+X38</f>
        <v>519239.81346270279</v>
      </c>
      <c r="Y64" s="185"/>
      <c r="Z64" s="185"/>
      <c r="AA64" s="186"/>
      <c r="AB64" s="128">
        <f>AB61+AB38</f>
        <v>811908.53201351338</v>
      </c>
      <c r="AC64" s="185"/>
      <c r="AD64" s="185"/>
      <c r="AE64" s="186"/>
      <c r="AF64" s="128">
        <f>AF61+AF38</f>
        <v>721573.84899999993</v>
      </c>
      <c r="AG64" s="185"/>
      <c r="AH64" s="185"/>
      <c r="AI64" s="186"/>
      <c r="AJ64" s="128">
        <f>AJ61+AJ38</f>
        <v>309048.17189189186</v>
      </c>
      <c r="AK64" s="185"/>
      <c r="AL64" s="185"/>
      <c r="AM64" s="185"/>
      <c r="AN64" s="186"/>
      <c r="AO64" s="129">
        <f>AO61+AP38+AO38</f>
        <v>584940.63864864875</v>
      </c>
      <c r="AP64" s="128"/>
      <c r="AQ64" s="128"/>
      <c r="AR64" s="128"/>
      <c r="AS64" s="130"/>
      <c r="AT64" s="128">
        <f>AT61+AT38</f>
        <v>221876.32756756758</v>
      </c>
      <c r="AU64" s="185"/>
      <c r="AV64" s="185"/>
      <c r="AW64" s="185"/>
      <c r="AX64" s="186"/>
      <c r="AY64" s="128">
        <f>AY61+AZ38+AY38</f>
        <v>632456.71797297301</v>
      </c>
      <c r="AZ64" s="185"/>
      <c r="BA64" s="185"/>
      <c r="BB64" s="186"/>
      <c r="BC64" s="128">
        <f>BC38+BC61</f>
        <v>91298.614864864867</v>
      </c>
      <c r="BD64" s="185"/>
      <c r="BE64" s="185"/>
      <c r="BF64" s="186"/>
      <c r="BG64" s="100"/>
      <c r="BH64" s="28">
        <f>BH61+BH38</f>
        <v>4560772.1846113512</v>
      </c>
      <c r="BJ64" s="100"/>
      <c r="BK64" s="100"/>
      <c r="BL64" s="111"/>
      <c r="BM64" s="111"/>
      <c r="BN64" s="100"/>
      <c r="BO64" s="131">
        <f>BO61+BO38</f>
        <v>80693.860000000015</v>
      </c>
      <c r="BP64" s="220"/>
      <c r="BQ64" s="220"/>
      <c r="BR64" s="221"/>
      <c r="BS64" s="128">
        <f>BS61+BS38</f>
        <v>71173.77</v>
      </c>
      <c r="BT64" s="185"/>
      <c r="BU64" s="185"/>
      <c r="BV64" s="185"/>
      <c r="BW64" s="186"/>
      <c r="BX64" s="128">
        <f>BX61+BX38</f>
        <v>135288.01</v>
      </c>
      <c r="BY64" s="185"/>
      <c r="BZ64" s="185"/>
      <c r="CA64" s="185"/>
      <c r="CB64" s="186"/>
      <c r="CC64" s="128">
        <f>CC61+CC38</f>
        <v>302095.05</v>
      </c>
      <c r="CD64" s="185"/>
      <c r="CE64" s="185"/>
      <c r="CF64" s="185"/>
      <c r="CG64" s="186"/>
      <c r="CH64" s="128">
        <f>CH61+CH38</f>
        <v>626948.43000000005</v>
      </c>
      <c r="CI64" s="185"/>
      <c r="CJ64" s="185"/>
      <c r="CK64" s="186"/>
      <c r="CL64" s="128">
        <f>CL61+CL38</f>
        <v>786041.52</v>
      </c>
      <c r="CM64" s="185"/>
      <c r="CN64" s="185"/>
      <c r="CO64" s="186"/>
      <c r="CP64" s="128">
        <f>CP61+CP38</f>
        <v>699156.96</v>
      </c>
      <c r="CQ64" s="185"/>
      <c r="CR64" s="185"/>
      <c r="CS64" s="186"/>
      <c r="CT64" s="128">
        <f>CT61+CT38</f>
        <v>388606.38</v>
      </c>
      <c r="CU64" s="185"/>
      <c r="CV64" s="185"/>
      <c r="CW64" s="185"/>
      <c r="CX64" s="186"/>
      <c r="CY64" s="129">
        <f>CY61+CZ38+CY38</f>
        <v>509823.52</v>
      </c>
      <c r="CZ64" s="128"/>
      <c r="DA64" s="128"/>
      <c r="DB64" s="128"/>
      <c r="DC64" s="130"/>
      <c r="DD64" s="128">
        <f>DD61+DD38</f>
        <v>494353.51</v>
      </c>
      <c r="DE64" s="185"/>
      <c r="DF64" s="185"/>
      <c r="DG64" s="185"/>
      <c r="DH64" s="186"/>
      <c r="DI64" s="128">
        <f>DI61+DJ38+DI38</f>
        <v>446142.69</v>
      </c>
      <c r="DJ64" s="185"/>
      <c r="DK64" s="185"/>
      <c r="DL64" s="186"/>
      <c r="DM64" s="128">
        <f>DM38+DM61</f>
        <v>45125.180000000008</v>
      </c>
      <c r="DN64" s="185"/>
      <c r="DO64" s="185"/>
      <c r="DP64" s="186"/>
      <c r="DQ64" s="100"/>
      <c r="DR64" s="100"/>
      <c r="DS64" s="100"/>
      <c r="DU64" s="28">
        <f>DU61+DU38</f>
        <v>4585448.879999999</v>
      </c>
      <c r="DV64" s="106"/>
      <c r="DW64" s="107">
        <f>DU64-BH64</f>
        <v>24676.695388647728</v>
      </c>
      <c r="EZ64" s="64">
        <v>4521463.6937499996</v>
      </c>
      <c r="FA64" s="194"/>
      <c r="FB64" s="194">
        <v>-54900.723749999888</v>
      </c>
      <c r="FC64" s="30">
        <v>-1.2142245845275486E-2</v>
      </c>
      <c r="FE64" s="27">
        <v>4454625</v>
      </c>
    </row>
    <row r="66" spans="4:154" ht="15.75" customHeight="1" thickBot="1">
      <c r="E66" s="121"/>
      <c r="F66" s="121"/>
      <c r="G66" s="121"/>
      <c r="H66" s="121"/>
      <c r="I66" s="127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2"/>
      <c r="AU66" s="122"/>
      <c r="AV66" s="122"/>
      <c r="AW66" s="122"/>
      <c r="AX66" s="122"/>
      <c r="AY66" s="126"/>
      <c r="AZ66" s="126"/>
      <c r="BA66" s="126"/>
      <c r="BB66" s="126"/>
      <c r="BC66" s="126"/>
      <c r="BD66" s="126"/>
      <c r="BE66" s="126"/>
      <c r="BF66" s="126"/>
      <c r="BG66" s="95"/>
      <c r="BJ66" s="95"/>
      <c r="BK66" s="95"/>
      <c r="BL66" s="120"/>
      <c r="BM66" s="120"/>
      <c r="BN66" s="95"/>
      <c r="BO66" s="121"/>
      <c r="BP66" s="121"/>
      <c r="BQ66" s="121"/>
      <c r="BR66" s="121"/>
      <c r="BS66" s="127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21"/>
      <c r="CO66" s="121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1"/>
      <c r="DA66" s="121"/>
      <c r="DB66" s="121"/>
      <c r="DC66" s="121"/>
      <c r="DD66" s="122"/>
      <c r="DE66" s="122"/>
      <c r="DF66" s="122"/>
      <c r="DG66" s="122"/>
      <c r="DH66" s="122"/>
      <c r="DI66" s="126"/>
      <c r="DJ66" s="126"/>
      <c r="DK66" s="126"/>
      <c r="DL66" s="126"/>
      <c r="DM66" s="126"/>
      <c r="DN66" s="126"/>
      <c r="DO66" s="126"/>
      <c r="DP66" s="126"/>
      <c r="DQ66" s="95"/>
      <c r="DR66" s="95"/>
      <c r="DS66" s="95"/>
    </row>
    <row r="67" spans="4:154" ht="15.75" customHeight="1" thickBot="1">
      <c r="BH67" s="91" t="s">
        <v>91</v>
      </c>
      <c r="BI67" s="92">
        <f>BH61/BH64</f>
        <v>0.21454669803965282</v>
      </c>
      <c r="DU67" s="91" t="s">
        <v>91</v>
      </c>
      <c r="DV67" s="92">
        <f>DU61/DU64</f>
        <v>0.2227771188237519</v>
      </c>
      <c r="DW67" s="92"/>
      <c r="DX67" s="92"/>
      <c r="DY67" s="92"/>
      <c r="DZ67" s="92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</row>
    <row r="68" spans="4:154" ht="14.1" thickBot="1">
      <c r="D68" s="12"/>
      <c r="E68" s="124"/>
      <c r="F68" s="121"/>
      <c r="G68" s="121"/>
      <c r="H68" s="121"/>
      <c r="I68" s="125"/>
      <c r="J68" s="121"/>
      <c r="K68" s="121"/>
      <c r="L68" s="121"/>
      <c r="M68" s="121"/>
      <c r="N68" s="124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2"/>
      <c r="AU68" s="122"/>
      <c r="AV68" s="122"/>
      <c r="AW68" s="122"/>
      <c r="AX68" s="122"/>
      <c r="BH68" s="90" t="s">
        <v>92</v>
      </c>
      <c r="BI68" s="92">
        <f>BH38/BH64</f>
        <v>0.78545330196034713</v>
      </c>
      <c r="BO68" s="124"/>
      <c r="BP68" s="121"/>
      <c r="BQ68" s="121"/>
      <c r="BR68" s="121"/>
      <c r="BS68" s="125"/>
      <c r="BT68" s="121"/>
      <c r="BU68" s="121"/>
      <c r="BV68" s="121"/>
      <c r="BW68" s="121"/>
      <c r="BX68" s="124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2"/>
      <c r="DE68" s="122"/>
      <c r="DF68" s="122"/>
      <c r="DG68" s="122"/>
      <c r="DH68" s="122"/>
      <c r="DU68" s="90" t="s">
        <v>92</v>
      </c>
      <c r="DV68" s="92">
        <f>DU38/DU64</f>
        <v>0.77722288117624816</v>
      </c>
      <c r="DW68" s="92"/>
      <c r="DX68" s="92"/>
      <c r="DY68" s="92"/>
      <c r="DZ68" s="92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</row>
    <row r="69" spans="4:154" ht="12.95">
      <c r="BH69" s="62"/>
      <c r="DU69" s="62"/>
    </row>
    <row r="150" spans="156:158" ht="14.1">
      <c r="EZ150" s="65">
        <v>26433.56</v>
      </c>
    </row>
    <row r="151" spans="156:158" ht="12.95">
      <c r="EZ151" s="12">
        <f t="shared" ref="EZ151:EZ154" si="16">$EZ$150*FB151</f>
        <v>7930.0680000000002</v>
      </c>
      <c r="FA151" s="12"/>
      <c r="FB151" s="12">
        <v>0.3</v>
      </c>
    </row>
    <row r="152" spans="156:158" ht="12.95">
      <c r="EZ152" s="12">
        <f t="shared" si="16"/>
        <v>7930.0680000000002</v>
      </c>
      <c r="FA152" s="12"/>
      <c r="FB152" s="12">
        <v>0.3</v>
      </c>
    </row>
    <row r="153" spans="156:158" ht="12.95">
      <c r="EZ153" s="12">
        <f t="shared" si="16"/>
        <v>5286.7120000000004</v>
      </c>
      <c r="FA153" s="12"/>
      <c r="FB153" s="12">
        <v>0.2</v>
      </c>
    </row>
    <row r="154" spans="156:158" ht="12.95">
      <c r="EZ154" s="12">
        <f t="shared" si="16"/>
        <v>5286.7120000000004</v>
      </c>
      <c r="FA154" s="12"/>
      <c r="FB154" s="12">
        <v>0.2</v>
      </c>
    </row>
  </sheetData>
  <mergeCells count="1149">
    <mergeCell ref="AF6:AI6"/>
    <mergeCell ref="AJ6:AN6"/>
    <mergeCell ref="AP6:AS6"/>
    <mergeCell ref="AT6:AX6"/>
    <mergeCell ref="AZ6:BB6"/>
    <mergeCell ref="BC6:BF6"/>
    <mergeCell ref="E1:BF2"/>
    <mergeCell ref="E4:Y4"/>
    <mergeCell ref="T5:V5"/>
    <mergeCell ref="Y5:AA5"/>
    <mergeCell ref="E6:H6"/>
    <mergeCell ref="I6:M6"/>
    <mergeCell ref="N6:R6"/>
    <mergeCell ref="S6:W6"/>
    <mergeCell ref="X6:AA6"/>
    <mergeCell ref="AB6:AE6"/>
    <mergeCell ref="S8:T8"/>
    <mergeCell ref="AP8:AQ8"/>
    <mergeCell ref="D9:D10"/>
    <mergeCell ref="E10:H10"/>
    <mergeCell ref="I10:M10"/>
    <mergeCell ref="N10:R10"/>
    <mergeCell ref="S10:W10"/>
    <mergeCell ref="X10:AA10"/>
    <mergeCell ref="AB10:AE10"/>
    <mergeCell ref="AF10:AI10"/>
    <mergeCell ref="AF7:AI7"/>
    <mergeCell ref="AJ7:AN7"/>
    <mergeCell ref="AP7:AS7"/>
    <mergeCell ref="AT7:AX7"/>
    <mergeCell ref="AZ7:BB7"/>
    <mergeCell ref="BC7:BF7"/>
    <mergeCell ref="E7:H7"/>
    <mergeCell ref="I7:M7"/>
    <mergeCell ref="N7:R7"/>
    <mergeCell ref="S7:W7"/>
    <mergeCell ref="X7:AA7"/>
    <mergeCell ref="AB7:AE7"/>
    <mergeCell ref="BC11:BF11"/>
    <mergeCell ref="E12:H12"/>
    <mergeCell ref="I12:M12"/>
    <mergeCell ref="N12:Q12"/>
    <mergeCell ref="S12:W12"/>
    <mergeCell ref="X12:AA12"/>
    <mergeCell ref="AB12:AE12"/>
    <mergeCell ref="AF12:AI12"/>
    <mergeCell ref="AJ12:AN12"/>
    <mergeCell ref="AP12:AS12"/>
    <mergeCell ref="AB11:AE11"/>
    <mergeCell ref="AF11:AI11"/>
    <mergeCell ref="AJ11:AN11"/>
    <mergeCell ref="AP11:AS11"/>
    <mergeCell ref="AT11:AX11"/>
    <mergeCell ref="AZ11:BB11"/>
    <mergeCell ref="AJ10:AN10"/>
    <mergeCell ref="AP10:AS10"/>
    <mergeCell ref="AT10:AX10"/>
    <mergeCell ref="AZ10:BB10"/>
    <mergeCell ref="BC10:BF10"/>
    <mergeCell ref="E11:H11"/>
    <mergeCell ref="I11:M11"/>
    <mergeCell ref="N11:R11"/>
    <mergeCell ref="S11:W11"/>
    <mergeCell ref="X11:AA11"/>
    <mergeCell ref="AJ13:AN13"/>
    <mergeCell ref="AP13:AS13"/>
    <mergeCell ref="AT13:AX13"/>
    <mergeCell ref="AZ13:BB13"/>
    <mergeCell ref="BC13:BF13"/>
    <mergeCell ref="E14:H14"/>
    <mergeCell ref="I14:M14"/>
    <mergeCell ref="N14:R14"/>
    <mergeCell ref="S14:W14"/>
    <mergeCell ref="X14:AA14"/>
    <mergeCell ref="AT12:AX12"/>
    <mergeCell ref="AZ12:BB12"/>
    <mergeCell ref="BC12:BF12"/>
    <mergeCell ref="E13:H13"/>
    <mergeCell ref="I13:M13"/>
    <mergeCell ref="N13:Q13"/>
    <mergeCell ref="S13:W13"/>
    <mergeCell ref="X13:AA13"/>
    <mergeCell ref="AB13:AE13"/>
    <mergeCell ref="AF13:AI13"/>
    <mergeCell ref="AT15:AX15"/>
    <mergeCell ref="AZ15:BB15"/>
    <mergeCell ref="BC15:BF15"/>
    <mergeCell ref="E16:H16"/>
    <mergeCell ref="I16:M16"/>
    <mergeCell ref="N16:Q16"/>
    <mergeCell ref="S16:W16"/>
    <mergeCell ref="X16:AA16"/>
    <mergeCell ref="AB16:AE16"/>
    <mergeCell ref="AF16:AI16"/>
    <mergeCell ref="BC14:BF14"/>
    <mergeCell ref="E15:H15"/>
    <mergeCell ref="I15:M15"/>
    <mergeCell ref="N15:Q15"/>
    <mergeCell ref="S15:W15"/>
    <mergeCell ref="X15:AA15"/>
    <mergeCell ref="AB15:AE15"/>
    <mergeCell ref="AF15:AI15"/>
    <mergeCell ref="AJ15:AN15"/>
    <mergeCell ref="AP15:AS15"/>
    <mergeCell ref="AB14:AE14"/>
    <mergeCell ref="AF14:AI14"/>
    <mergeCell ref="AJ14:AN14"/>
    <mergeCell ref="AP14:AS14"/>
    <mergeCell ref="AT14:AX14"/>
    <mergeCell ref="AZ14:BB14"/>
    <mergeCell ref="BC17:BF17"/>
    <mergeCell ref="E18:H18"/>
    <mergeCell ref="I18:M18"/>
    <mergeCell ref="N18:R18"/>
    <mergeCell ref="S18:W18"/>
    <mergeCell ref="X18:AA18"/>
    <mergeCell ref="AB18:AE18"/>
    <mergeCell ref="AF18:AI18"/>
    <mergeCell ref="AJ18:AN18"/>
    <mergeCell ref="AP18:AS18"/>
    <mergeCell ref="AB17:AE17"/>
    <mergeCell ref="AF17:AI17"/>
    <mergeCell ref="AJ17:AN17"/>
    <mergeCell ref="AP17:AS17"/>
    <mergeCell ref="AT17:AX17"/>
    <mergeCell ref="AZ17:BB17"/>
    <mergeCell ref="AJ16:AN16"/>
    <mergeCell ref="AP16:AS16"/>
    <mergeCell ref="AT16:AX16"/>
    <mergeCell ref="AZ16:BB16"/>
    <mergeCell ref="BC16:BF16"/>
    <mergeCell ref="E17:H17"/>
    <mergeCell ref="I17:M17"/>
    <mergeCell ref="N17:R17"/>
    <mergeCell ref="S17:W17"/>
    <mergeCell ref="X17:AA17"/>
    <mergeCell ref="BC19:BF19"/>
    <mergeCell ref="S20:W20"/>
    <mergeCell ref="X20:AA20"/>
    <mergeCell ref="AB20:AE20"/>
    <mergeCell ref="AF20:AI20"/>
    <mergeCell ref="AJ20:AN20"/>
    <mergeCell ref="AT18:AX18"/>
    <mergeCell ref="AZ18:BB18"/>
    <mergeCell ref="BC18:BF18"/>
    <mergeCell ref="E19:H19"/>
    <mergeCell ref="I19:M19"/>
    <mergeCell ref="N19:R19"/>
    <mergeCell ref="S19:W19"/>
    <mergeCell ref="X19:AA19"/>
    <mergeCell ref="AB19:AE19"/>
    <mergeCell ref="AF19:AI19"/>
    <mergeCell ref="BC23:BF23"/>
    <mergeCell ref="BC20:BF20"/>
    <mergeCell ref="AB23:AE23"/>
    <mergeCell ref="AF23:AI23"/>
    <mergeCell ref="AJ23:AN23"/>
    <mergeCell ref="AP23:AS23"/>
    <mergeCell ref="AT23:AX23"/>
    <mergeCell ref="AZ23:BB23"/>
    <mergeCell ref="AP20:AS20"/>
    <mergeCell ref="AT20:AX20"/>
    <mergeCell ref="AZ20:BB20"/>
    <mergeCell ref="D21:D22"/>
    <mergeCell ref="E23:H23"/>
    <mergeCell ref="I23:M23"/>
    <mergeCell ref="N23:R23"/>
    <mergeCell ref="S23:W23"/>
    <mergeCell ref="X23:AA23"/>
    <mergeCell ref="AJ19:AN19"/>
    <mergeCell ref="AP19:AS19"/>
    <mergeCell ref="AT19:AX19"/>
    <mergeCell ref="AZ19:BB19"/>
    <mergeCell ref="AJ25:AN25"/>
    <mergeCell ref="AP25:AS25"/>
    <mergeCell ref="AT25:AX25"/>
    <mergeCell ref="AZ25:BB25"/>
    <mergeCell ref="BC25:BF25"/>
    <mergeCell ref="E26:H26"/>
    <mergeCell ref="I26:M26"/>
    <mergeCell ref="N26:R26"/>
    <mergeCell ref="S26:W26"/>
    <mergeCell ref="X26:AA26"/>
    <mergeCell ref="AT24:AX24"/>
    <mergeCell ref="AZ24:BB24"/>
    <mergeCell ref="BC24:BF24"/>
    <mergeCell ref="E25:H25"/>
    <mergeCell ref="I25:M25"/>
    <mergeCell ref="N25:R25"/>
    <mergeCell ref="S25:W25"/>
    <mergeCell ref="X25:AA25"/>
    <mergeCell ref="AB25:AE25"/>
    <mergeCell ref="AF25:AI25"/>
    <mergeCell ref="E24:H24"/>
    <mergeCell ref="I24:M24"/>
    <mergeCell ref="N24:R24"/>
    <mergeCell ref="S24:W24"/>
    <mergeCell ref="X24:AA24"/>
    <mergeCell ref="AB24:AE24"/>
    <mergeCell ref="AF24:AI24"/>
    <mergeCell ref="AJ24:AN24"/>
    <mergeCell ref="AP24:AS24"/>
    <mergeCell ref="AT27:AX27"/>
    <mergeCell ref="AZ27:BB27"/>
    <mergeCell ref="BC27:BF27"/>
    <mergeCell ref="E28:H28"/>
    <mergeCell ref="I28:M28"/>
    <mergeCell ref="N28:R28"/>
    <mergeCell ref="S28:W28"/>
    <mergeCell ref="X28:AA28"/>
    <mergeCell ref="AB28:AE28"/>
    <mergeCell ref="AF28:AI28"/>
    <mergeCell ref="BC26:BF26"/>
    <mergeCell ref="E27:H27"/>
    <mergeCell ref="I27:M27"/>
    <mergeCell ref="N27:R27"/>
    <mergeCell ref="S27:W27"/>
    <mergeCell ref="X27:AA27"/>
    <mergeCell ref="AB27:AE27"/>
    <mergeCell ref="AF27:AI27"/>
    <mergeCell ref="AJ27:AN27"/>
    <mergeCell ref="AP27:AS27"/>
    <mergeCell ref="AB26:AE26"/>
    <mergeCell ref="AF26:AI26"/>
    <mergeCell ref="AJ26:AN26"/>
    <mergeCell ref="AP26:AS26"/>
    <mergeCell ref="AT26:AX26"/>
    <mergeCell ref="AZ26:BB26"/>
    <mergeCell ref="BC29:BF29"/>
    <mergeCell ref="E30:H30"/>
    <mergeCell ref="I30:M30"/>
    <mergeCell ref="N30:R30"/>
    <mergeCell ref="S30:W30"/>
    <mergeCell ref="X30:AA30"/>
    <mergeCell ref="AB30:AE30"/>
    <mergeCell ref="AF30:AI30"/>
    <mergeCell ref="AJ30:AN30"/>
    <mergeCell ref="AP30:AS30"/>
    <mergeCell ref="AB29:AE29"/>
    <mergeCell ref="AF29:AI29"/>
    <mergeCell ref="AJ29:AN29"/>
    <mergeCell ref="AP29:AS29"/>
    <mergeCell ref="AT29:AX29"/>
    <mergeCell ref="AZ29:BB29"/>
    <mergeCell ref="AJ28:AN28"/>
    <mergeCell ref="AP28:AS28"/>
    <mergeCell ref="AT28:AX28"/>
    <mergeCell ref="AZ28:BB28"/>
    <mergeCell ref="BC28:BF28"/>
    <mergeCell ref="E29:H29"/>
    <mergeCell ref="I29:M29"/>
    <mergeCell ref="N29:R29"/>
    <mergeCell ref="S29:W29"/>
    <mergeCell ref="X29:AA29"/>
    <mergeCell ref="AJ31:AN31"/>
    <mergeCell ref="AP31:AS31"/>
    <mergeCell ref="AT31:AX31"/>
    <mergeCell ref="AZ31:BB31"/>
    <mergeCell ref="BC31:BF31"/>
    <mergeCell ref="E32:H32"/>
    <mergeCell ref="I32:M32"/>
    <mergeCell ref="N32:R32"/>
    <mergeCell ref="S32:W32"/>
    <mergeCell ref="X32:AA32"/>
    <mergeCell ref="AT30:AX30"/>
    <mergeCell ref="AZ30:BB30"/>
    <mergeCell ref="BC30:BF30"/>
    <mergeCell ref="E31:H31"/>
    <mergeCell ref="I31:M31"/>
    <mergeCell ref="N31:R31"/>
    <mergeCell ref="S31:W31"/>
    <mergeCell ref="X31:AA31"/>
    <mergeCell ref="AB31:AE31"/>
    <mergeCell ref="AF31:AI31"/>
    <mergeCell ref="AT33:AX33"/>
    <mergeCell ref="AZ33:BB33"/>
    <mergeCell ref="BC33:BF33"/>
    <mergeCell ref="E34:H34"/>
    <mergeCell ref="I34:M34"/>
    <mergeCell ref="N34:R34"/>
    <mergeCell ref="S34:W34"/>
    <mergeCell ref="X34:AA34"/>
    <mergeCell ref="AB34:AE34"/>
    <mergeCell ref="AF34:AI34"/>
    <mergeCell ref="BC32:BF32"/>
    <mergeCell ref="E33:H33"/>
    <mergeCell ref="I33:M33"/>
    <mergeCell ref="N33:R33"/>
    <mergeCell ref="S33:W33"/>
    <mergeCell ref="X33:AA33"/>
    <mergeCell ref="AB33:AE33"/>
    <mergeCell ref="AF33:AI33"/>
    <mergeCell ref="AJ33:AN33"/>
    <mergeCell ref="AP33:AS33"/>
    <mergeCell ref="AB32:AE32"/>
    <mergeCell ref="AF32:AI32"/>
    <mergeCell ref="AJ32:AN32"/>
    <mergeCell ref="AP32:AS32"/>
    <mergeCell ref="AT32:AX32"/>
    <mergeCell ref="AZ32:BB32"/>
    <mergeCell ref="BC35:BF35"/>
    <mergeCell ref="E36:H36"/>
    <mergeCell ref="I36:M36"/>
    <mergeCell ref="N36:R36"/>
    <mergeCell ref="S36:W36"/>
    <mergeCell ref="X36:AA36"/>
    <mergeCell ref="AB36:AE36"/>
    <mergeCell ref="AF36:AI36"/>
    <mergeCell ref="AJ36:AN36"/>
    <mergeCell ref="AP36:AS36"/>
    <mergeCell ref="AB35:AE35"/>
    <mergeCell ref="AF35:AI35"/>
    <mergeCell ref="AJ35:AN35"/>
    <mergeCell ref="AP35:AS35"/>
    <mergeCell ref="AT35:AX35"/>
    <mergeCell ref="AZ35:BB35"/>
    <mergeCell ref="AJ34:AN34"/>
    <mergeCell ref="AP34:AS34"/>
    <mergeCell ref="AT34:AX34"/>
    <mergeCell ref="AZ34:BB34"/>
    <mergeCell ref="BC34:BF34"/>
    <mergeCell ref="E35:H35"/>
    <mergeCell ref="I35:M35"/>
    <mergeCell ref="N35:R35"/>
    <mergeCell ref="S35:W35"/>
    <mergeCell ref="X35:AA35"/>
    <mergeCell ref="BC38:BF38"/>
    <mergeCell ref="E39:H39"/>
    <mergeCell ref="I39:M39"/>
    <mergeCell ref="N39:R39"/>
    <mergeCell ref="S39:W39"/>
    <mergeCell ref="X39:AA39"/>
    <mergeCell ref="AB39:AE39"/>
    <mergeCell ref="AF39:AI39"/>
    <mergeCell ref="AJ39:AN39"/>
    <mergeCell ref="AP39:AS39"/>
    <mergeCell ref="AB38:AE38"/>
    <mergeCell ref="AF38:AI38"/>
    <mergeCell ref="AJ38:AN38"/>
    <mergeCell ref="AP38:AS38"/>
    <mergeCell ref="AT38:AX38"/>
    <mergeCell ref="AZ38:BB38"/>
    <mergeCell ref="AT36:AX36"/>
    <mergeCell ref="AZ36:BB36"/>
    <mergeCell ref="BC36:BF36"/>
    <mergeCell ref="I37:M37"/>
    <mergeCell ref="N37:R37"/>
    <mergeCell ref="E38:H38"/>
    <mergeCell ref="I38:M38"/>
    <mergeCell ref="N38:R38"/>
    <mergeCell ref="S38:W38"/>
    <mergeCell ref="X38:AA38"/>
    <mergeCell ref="AJ40:AN40"/>
    <mergeCell ref="AP40:AS40"/>
    <mergeCell ref="AT40:AX40"/>
    <mergeCell ref="AZ40:BB40"/>
    <mergeCell ref="BC40:BF40"/>
    <mergeCell ref="E41:H41"/>
    <mergeCell ref="I41:M41"/>
    <mergeCell ref="N41:R41"/>
    <mergeCell ref="S41:W41"/>
    <mergeCell ref="X41:AA41"/>
    <mergeCell ref="AT39:AX39"/>
    <mergeCell ref="AZ39:BB39"/>
    <mergeCell ref="BC39:BF39"/>
    <mergeCell ref="E40:H40"/>
    <mergeCell ref="I40:M40"/>
    <mergeCell ref="N40:R40"/>
    <mergeCell ref="S40:W40"/>
    <mergeCell ref="X40:AA40"/>
    <mergeCell ref="AB40:AE40"/>
    <mergeCell ref="AF40:AI40"/>
    <mergeCell ref="E47:H47"/>
    <mergeCell ref="I47:M47"/>
    <mergeCell ref="N47:R47"/>
    <mergeCell ref="S47:W47"/>
    <mergeCell ref="X47:AA47"/>
    <mergeCell ref="AT42:AX42"/>
    <mergeCell ref="AY42:BB42"/>
    <mergeCell ref="BC42:BF42"/>
    <mergeCell ref="E45:H45"/>
    <mergeCell ref="I45:M45"/>
    <mergeCell ref="N45:R45"/>
    <mergeCell ref="S45:W45"/>
    <mergeCell ref="X45:AA45"/>
    <mergeCell ref="AB45:AE45"/>
    <mergeCell ref="AF45:AI45"/>
    <mergeCell ref="BC41:BF41"/>
    <mergeCell ref="E42:H42"/>
    <mergeCell ref="I42:M42"/>
    <mergeCell ref="N42:R42"/>
    <mergeCell ref="S42:W42"/>
    <mergeCell ref="X42:AA42"/>
    <mergeCell ref="AB42:AE42"/>
    <mergeCell ref="AF42:AI42"/>
    <mergeCell ref="AJ42:AN42"/>
    <mergeCell ref="AO42:AS42"/>
    <mergeCell ref="AB41:AE41"/>
    <mergeCell ref="AF41:AI41"/>
    <mergeCell ref="AJ41:AN41"/>
    <mergeCell ref="AO41:AS41"/>
    <mergeCell ref="AT41:AX41"/>
    <mergeCell ref="AY41:BB41"/>
    <mergeCell ref="BC47:BF47"/>
    <mergeCell ref="S48:W48"/>
    <mergeCell ref="AF48:AI48"/>
    <mergeCell ref="AJ48:AN48"/>
    <mergeCell ref="AZ48:BB48"/>
    <mergeCell ref="AH49:AL49"/>
    <mergeCell ref="AB47:AE47"/>
    <mergeCell ref="AF47:AI47"/>
    <mergeCell ref="AJ47:AN47"/>
    <mergeCell ref="AP47:AS47"/>
    <mergeCell ref="AT47:AX47"/>
    <mergeCell ref="AZ47:BB47"/>
    <mergeCell ref="AJ45:AN45"/>
    <mergeCell ref="AP45:AS45"/>
    <mergeCell ref="AT45:AX45"/>
    <mergeCell ref="AZ45:BB45"/>
    <mergeCell ref="BC45:BF45"/>
    <mergeCell ref="AO52:AS52"/>
    <mergeCell ref="AT52:AX52"/>
    <mergeCell ref="AY52:BB52"/>
    <mergeCell ref="BC52:BF52"/>
    <mergeCell ref="E53:H53"/>
    <mergeCell ref="I53:M53"/>
    <mergeCell ref="N53:R53"/>
    <mergeCell ref="S53:W53"/>
    <mergeCell ref="X53:AA53"/>
    <mergeCell ref="AB53:AE53"/>
    <mergeCell ref="AH50:AL50"/>
    <mergeCell ref="D51:D52"/>
    <mergeCell ref="E52:H52"/>
    <mergeCell ref="I52:M52"/>
    <mergeCell ref="N52:R52"/>
    <mergeCell ref="S52:W52"/>
    <mergeCell ref="X52:AA52"/>
    <mergeCell ref="AB52:AE52"/>
    <mergeCell ref="AF52:AI52"/>
    <mergeCell ref="AJ52:AN52"/>
    <mergeCell ref="AF54:AI54"/>
    <mergeCell ref="AJ54:AN54"/>
    <mergeCell ref="AO54:AS54"/>
    <mergeCell ref="AT54:AX54"/>
    <mergeCell ref="AY54:BB54"/>
    <mergeCell ref="BC54:BF54"/>
    <mergeCell ref="E54:H54"/>
    <mergeCell ref="I54:M54"/>
    <mergeCell ref="N54:R54"/>
    <mergeCell ref="S54:W54"/>
    <mergeCell ref="X54:AA54"/>
    <mergeCell ref="AB54:AE54"/>
    <mergeCell ref="AF53:AI53"/>
    <mergeCell ref="AJ53:AN53"/>
    <mergeCell ref="AO53:AS53"/>
    <mergeCell ref="AT53:AX53"/>
    <mergeCell ref="AY53:BB53"/>
    <mergeCell ref="BC53:BF53"/>
    <mergeCell ref="AF56:AI56"/>
    <mergeCell ref="AJ56:AN56"/>
    <mergeCell ref="AO56:AS56"/>
    <mergeCell ref="AT56:AX56"/>
    <mergeCell ref="AY56:BB56"/>
    <mergeCell ref="BC56:BF56"/>
    <mergeCell ref="E56:H56"/>
    <mergeCell ref="I56:M56"/>
    <mergeCell ref="N56:R56"/>
    <mergeCell ref="S56:W56"/>
    <mergeCell ref="X56:AA56"/>
    <mergeCell ref="AB56:AE56"/>
    <mergeCell ref="AF55:AI55"/>
    <mergeCell ref="AJ55:AN55"/>
    <mergeCell ref="AO55:AS55"/>
    <mergeCell ref="AT55:AX55"/>
    <mergeCell ref="AY55:BB55"/>
    <mergeCell ref="BC55:BF55"/>
    <mergeCell ref="E55:H55"/>
    <mergeCell ref="I55:M55"/>
    <mergeCell ref="N55:R55"/>
    <mergeCell ref="S55:W55"/>
    <mergeCell ref="X55:AA55"/>
    <mergeCell ref="AB55:AE55"/>
    <mergeCell ref="AF58:AI58"/>
    <mergeCell ref="AJ58:AN58"/>
    <mergeCell ref="AO58:AS58"/>
    <mergeCell ref="AT58:AX58"/>
    <mergeCell ref="AY58:BB58"/>
    <mergeCell ref="BC58:BF58"/>
    <mergeCell ref="E58:H58"/>
    <mergeCell ref="I58:M58"/>
    <mergeCell ref="N58:R58"/>
    <mergeCell ref="S58:W58"/>
    <mergeCell ref="X58:AA58"/>
    <mergeCell ref="AB58:AE58"/>
    <mergeCell ref="AF57:AI57"/>
    <mergeCell ref="AJ57:AN57"/>
    <mergeCell ref="AO57:AS57"/>
    <mergeCell ref="AT57:AX57"/>
    <mergeCell ref="AY57:BB57"/>
    <mergeCell ref="BC57:BF57"/>
    <mergeCell ref="E57:H57"/>
    <mergeCell ref="I57:M57"/>
    <mergeCell ref="N57:R57"/>
    <mergeCell ref="S57:W57"/>
    <mergeCell ref="X57:AA57"/>
    <mergeCell ref="AB57:AE57"/>
    <mergeCell ref="AF60:AI60"/>
    <mergeCell ref="AJ60:AN60"/>
    <mergeCell ref="AO60:AS60"/>
    <mergeCell ref="AT60:AX60"/>
    <mergeCell ref="AY60:BB60"/>
    <mergeCell ref="BC60:BF60"/>
    <mergeCell ref="E60:H60"/>
    <mergeCell ref="I60:M60"/>
    <mergeCell ref="N60:R60"/>
    <mergeCell ref="S60:W60"/>
    <mergeCell ref="X60:AA60"/>
    <mergeCell ref="AB60:AE60"/>
    <mergeCell ref="AF59:AI59"/>
    <mergeCell ref="AJ59:AN59"/>
    <mergeCell ref="AO59:AS59"/>
    <mergeCell ref="AT59:AX59"/>
    <mergeCell ref="AY59:BB59"/>
    <mergeCell ref="BC59:BF59"/>
    <mergeCell ref="E59:H59"/>
    <mergeCell ref="I59:M59"/>
    <mergeCell ref="N59:R59"/>
    <mergeCell ref="S59:W59"/>
    <mergeCell ref="X59:AA59"/>
    <mergeCell ref="AB59:AE59"/>
    <mergeCell ref="AY64:BB64"/>
    <mergeCell ref="BC64:BF64"/>
    <mergeCell ref="E64:H64"/>
    <mergeCell ref="I64:M64"/>
    <mergeCell ref="N64:R64"/>
    <mergeCell ref="S64:W64"/>
    <mergeCell ref="X64:AA64"/>
    <mergeCell ref="AB64:AE64"/>
    <mergeCell ref="AF61:AI61"/>
    <mergeCell ref="AJ61:AN61"/>
    <mergeCell ref="AO61:AS61"/>
    <mergeCell ref="AT61:AX61"/>
    <mergeCell ref="AY61:BB61"/>
    <mergeCell ref="BC61:BF61"/>
    <mergeCell ref="E61:H61"/>
    <mergeCell ref="I61:M61"/>
    <mergeCell ref="N61:R61"/>
    <mergeCell ref="S61:W61"/>
    <mergeCell ref="X61:AA61"/>
    <mergeCell ref="AB61:AE61"/>
    <mergeCell ref="AF68:AI68"/>
    <mergeCell ref="AJ68:AN68"/>
    <mergeCell ref="AO68:AS68"/>
    <mergeCell ref="AT68:AX68"/>
    <mergeCell ref="BO4:CI4"/>
    <mergeCell ref="CD5:CF5"/>
    <mergeCell ref="CI5:CK5"/>
    <mergeCell ref="BO6:BR6"/>
    <mergeCell ref="BS6:BW6"/>
    <mergeCell ref="BX6:CB6"/>
    <mergeCell ref="E68:H68"/>
    <mergeCell ref="I68:M68"/>
    <mergeCell ref="N68:R68"/>
    <mergeCell ref="S68:W68"/>
    <mergeCell ref="X68:AA68"/>
    <mergeCell ref="AB68:AE68"/>
    <mergeCell ref="AF66:AI66"/>
    <mergeCell ref="AJ66:AN66"/>
    <mergeCell ref="AO66:AS66"/>
    <mergeCell ref="AT66:AX66"/>
    <mergeCell ref="AY66:BB66"/>
    <mergeCell ref="BC66:BF66"/>
    <mergeCell ref="E66:H66"/>
    <mergeCell ref="I66:M66"/>
    <mergeCell ref="N66:R66"/>
    <mergeCell ref="S66:W66"/>
    <mergeCell ref="X66:AA66"/>
    <mergeCell ref="AB66:AE66"/>
    <mergeCell ref="AF64:AI64"/>
    <mergeCell ref="AJ64:AN64"/>
    <mergeCell ref="AO64:AS64"/>
    <mergeCell ref="AT64:AX64"/>
    <mergeCell ref="CT7:CX7"/>
    <mergeCell ref="CZ7:DC7"/>
    <mergeCell ref="DD7:DH7"/>
    <mergeCell ref="DJ7:DL7"/>
    <mergeCell ref="DM7:DP7"/>
    <mergeCell ref="CC8:CD8"/>
    <mergeCell ref="CZ8:DA8"/>
    <mergeCell ref="DD6:DH6"/>
    <mergeCell ref="DJ6:DL6"/>
    <mergeCell ref="DM6:DP6"/>
    <mergeCell ref="BO7:BR7"/>
    <mergeCell ref="BS7:BW7"/>
    <mergeCell ref="BX7:CB7"/>
    <mergeCell ref="CC7:CG7"/>
    <mergeCell ref="CH7:CK7"/>
    <mergeCell ref="CL7:CO7"/>
    <mergeCell ref="CP7:CS7"/>
    <mergeCell ref="CC6:CG6"/>
    <mergeCell ref="CH6:CK6"/>
    <mergeCell ref="CL6:CO6"/>
    <mergeCell ref="CP6:CS6"/>
    <mergeCell ref="CT6:CX6"/>
    <mergeCell ref="CZ6:DC6"/>
    <mergeCell ref="CP11:CS11"/>
    <mergeCell ref="CT11:CX11"/>
    <mergeCell ref="CZ11:DC11"/>
    <mergeCell ref="DD11:DH11"/>
    <mergeCell ref="DJ11:DL11"/>
    <mergeCell ref="DM11:DP11"/>
    <mergeCell ref="BO11:BR11"/>
    <mergeCell ref="BS11:BW11"/>
    <mergeCell ref="BX11:CB11"/>
    <mergeCell ref="CC11:CG11"/>
    <mergeCell ref="CH11:CK11"/>
    <mergeCell ref="CL11:CO11"/>
    <mergeCell ref="CP10:CS10"/>
    <mergeCell ref="CT10:CX10"/>
    <mergeCell ref="CZ10:DC10"/>
    <mergeCell ref="DD10:DH10"/>
    <mergeCell ref="DJ10:DL10"/>
    <mergeCell ref="DM10:DP10"/>
    <mergeCell ref="BO10:BR10"/>
    <mergeCell ref="BS10:BW10"/>
    <mergeCell ref="BX10:CB10"/>
    <mergeCell ref="CC10:CG10"/>
    <mergeCell ref="CH10:CK10"/>
    <mergeCell ref="CL10:CO10"/>
    <mergeCell ref="CP13:CS13"/>
    <mergeCell ref="CT13:CX13"/>
    <mergeCell ref="CZ13:DC13"/>
    <mergeCell ref="DD13:DH13"/>
    <mergeCell ref="DJ13:DL13"/>
    <mergeCell ref="DM13:DP13"/>
    <mergeCell ref="BO13:BR13"/>
    <mergeCell ref="BS13:BW13"/>
    <mergeCell ref="BX13:CA13"/>
    <mergeCell ref="CC13:CG13"/>
    <mergeCell ref="CH13:CK13"/>
    <mergeCell ref="CL13:CO13"/>
    <mergeCell ref="CP12:CS12"/>
    <mergeCell ref="CT12:CX12"/>
    <mergeCell ref="CZ12:DC12"/>
    <mergeCell ref="DD12:DH12"/>
    <mergeCell ref="DJ12:DL12"/>
    <mergeCell ref="DM12:DP12"/>
    <mergeCell ref="BO12:BR12"/>
    <mergeCell ref="BS12:BW12"/>
    <mergeCell ref="BX12:CA12"/>
    <mergeCell ref="CC12:CG12"/>
    <mergeCell ref="CH12:CK12"/>
    <mergeCell ref="CL12:CO12"/>
    <mergeCell ref="CP15:CS15"/>
    <mergeCell ref="CT15:CX15"/>
    <mergeCell ref="CZ15:DC15"/>
    <mergeCell ref="DD15:DH15"/>
    <mergeCell ref="DJ15:DL15"/>
    <mergeCell ref="DM15:DP15"/>
    <mergeCell ref="BO15:BR15"/>
    <mergeCell ref="BS15:BW15"/>
    <mergeCell ref="BX15:CA15"/>
    <mergeCell ref="CC15:CG15"/>
    <mergeCell ref="CH15:CK15"/>
    <mergeCell ref="CL15:CO15"/>
    <mergeCell ref="CP14:CS14"/>
    <mergeCell ref="CT14:CX14"/>
    <mergeCell ref="CZ14:DC14"/>
    <mergeCell ref="DD14:DH14"/>
    <mergeCell ref="DJ14:DL14"/>
    <mergeCell ref="DM14:DP14"/>
    <mergeCell ref="BO14:BR14"/>
    <mergeCell ref="BS14:BW14"/>
    <mergeCell ref="BX14:CB14"/>
    <mergeCell ref="CC14:CG14"/>
    <mergeCell ref="CH14:CK14"/>
    <mergeCell ref="CL14:CO14"/>
    <mergeCell ref="CP17:CS17"/>
    <mergeCell ref="CT17:CX17"/>
    <mergeCell ref="CZ17:DC17"/>
    <mergeCell ref="DD17:DH17"/>
    <mergeCell ref="DJ17:DL17"/>
    <mergeCell ref="DM17:DP17"/>
    <mergeCell ref="BO17:BR17"/>
    <mergeCell ref="BS17:BW17"/>
    <mergeCell ref="BX17:CB17"/>
    <mergeCell ref="CC17:CG17"/>
    <mergeCell ref="CH17:CK17"/>
    <mergeCell ref="CL17:CO17"/>
    <mergeCell ref="CP16:CS16"/>
    <mergeCell ref="CT16:CX16"/>
    <mergeCell ref="CZ16:DC16"/>
    <mergeCell ref="DD16:DH16"/>
    <mergeCell ref="DJ16:DL16"/>
    <mergeCell ref="DM16:DP16"/>
    <mergeCell ref="BO16:BR16"/>
    <mergeCell ref="BS16:BW16"/>
    <mergeCell ref="BX16:CA16"/>
    <mergeCell ref="CC16:CG16"/>
    <mergeCell ref="CH16:CK16"/>
    <mergeCell ref="CL16:CO16"/>
    <mergeCell ref="CP19:CS19"/>
    <mergeCell ref="CT19:CX19"/>
    <mergeCell ref="CZ19:DC19"/>
    <mergeCell ref="DD19:DH19"/>
    <mergeCell ref="DJ19:DL19"/>
    <mergeCell ref="DM19:DP19"/>
    <mergeCell ref="BO19:BR19"/>
    <mergeCell ref="BS19:BW19"/>
    <mergeCell ref="BX19:CB19"/>
    <mergeCell ref="CC19:CG19"/>
    <mergeCell ref="CH19:CK19"/>
    <mergeCell ref="CL19:CO19"/>
    <mergeCell ref="CP18:CS18"/>
    <mergeCell ref="CT18:CX18"/>
    <mergeCell ref="CZ18:DC18"/>
    <mergeCell ref="DD18:DH18"/>
    <mergeCell ref="DJ18:DL18"/>
    <mergeCell ref="DM18:DP18"/>
    <mergeCell ref="BO18:BR18"/>
    <mergeCell ref="BS18:BW18"/>
    <mergeCell ref="BX18:CB18"/>
    <mergeCell ref="CC18:CG18"/>
    <mergeCell ref="CH18:CK18"/>
    <mergeCell ref="CL18:CO18"/>
    <mergeCell ref="CT23:CX23"/>
    <mergeCell ref="CZ23:DC23"/>
    <mergeCell ref="DD23:DH23"/>
    <mergeCell ref="DJ23:DL23"/>
    <mergeCell ref="DM23:DP23"/>
    <mergeCell ref="BO24:BR24"/>
    <mergeCell ref="BS24:BW24"/>
    <mergeCell ref="BX24:CB24"/>
    <mergeCell ref="CC24:CG24"/>
    <mergeCell ref="CH24:CK24"/>
    <mergeCell ref="DD20:DH20"/>
    <mergeCell ref="DJ20:DL20"/>
    <mergeCell ref="DM20:DP20"/>
    <mergeCell ref="BO23:BR23"/>
    <mergeCell ref="BS23:BW23"/>
    <mergeCell ref="BX23:CB23"/>
    <mergeCell ref="CC23:CG23"/>
    <mergeCell ref="CH23:CK23"/>
    <mergeCell ref="CL23:CO23"/>
    <mergeCell ref="CP23:CS23"/>
    <mergeCell ref="CC20:CG20"/>
    <mergeCell ref="CH20:CK20"/>
    <mergeCell ref="CL20:CO20"/>
    <mergeCell ref="CP20:CS20"/>
    <mergeCell ref="CT20:CX20"/>
    <mergeCell ref="CZ20:DC20"/>
    <mergeCell ref="DD25:DH25"/>
    <mergeCell ref="DJ25:DL25"/>
    <mergeCell ref="DM25:DP25"/>
    <mergeCell ref="BO26:BR26"/>
    <mergeCell ref="BS26:BW26"/>
    <mergeCell ref="BX26:CB26"/>
    <mergeCell ref="CC26:CG26"/>
    <mergeCell ref="CH26:CK26"/>
    <mergeCell ref="CL26:CO26"/>
    <mergeCell ref="CP26:CS26"/>
    <mergeCell ref="DM24:DP24"/>
    <mergeCell ref="BO25:BR25"/>
    <mergeCell ref="BS25:BW25"/>
    <mergeCell ref="BX25:CB25"/>
    <mergeCell ref="CC25:CG25"/>
    <mergeCell ref="CH25:CK25"/>
    <mergeCell ref="CL25:CO25"/>
    <mergeCell ref="CP25:CS25"/>
    <mergeCell ref="CT25:CX25"/>
    <mergeCell ref="CZ25:DC25"/>
    <mergeCell ref="CL24:CO24"/>
    <mergeCell ref="CP24:CS24"/>
    <mergeCell ref="CT24:CX24"/>
    <mergeCell ref="CZ24:DC24"/>
    <mergeCell ref="DD24:DH24"/>
    <mergeCell ref="DJ24:DL24"/>
    <mergeCell ref="DM27:DP27"/>
    <mergeCell ref="BO28:BR28"/>
    <mergeCell ref="BS28:BW28"/>
    <mergeCell ref="BX28:CB28"/>
    <mergeCell ref="CC28:CG28"/>
    <mergeCell ref="CH28:CK28"/>
    <mergeCell ref="CL28:CO28"/>
    <mergeCell ref="CP28:CS28"/>
    <mergeCell ref="CT28:CX28"/>
    <mergeCell ref="CZ28:DC28"/>
    <mergeCell ref="CL27:CO27"/>
    <mergeCell ref="CP27:CS27"/>
    <mergeCell ref="CT27:CX27"/>
    <mergeCell ref="CZ27:DC27"/>
    <mergeCell ref="DD27:DH27"/>
    <mergeCell ref="DJ27:DL27"/>
    <mergeCell ref="CT26:CX26"/>
    <mergeCell ref="CZ26:DC26"/>
    <mergeCell ref="DD26:DH26"/>
    <mergeCell ref="DJ26:DL26"/>
    <mergeCell ref="DM26:DP26"/>
    <mergeCell ref="BO27:BR27"/>
    <mergeCell ref="BS27:BW27"/>
    <mergeCell ref="BX27:CB27"/>
    <mergeCell ref="CC27:CG27"/>
    <mergeCell ref="CH27:CK27"/>
    <mergeCell ref="CT29:CX29"/>
    <mergeCell ref="CZ29:DC29"/>
    <mergeCell ref="DD29:DH29"/>
    <mergeCell ref="DJ29:DL29"/>
    <mergeCell ref="DM29:DP29"/>
    <mergeCell ref="BO30:BR30"/>
    <mergeCell ref="BS30:BW30"/>
    <mergeCell ref="BX30:CB30"/>
    <mergeCell ref="CC30:CG30"/>
    <mergeCell ref="CH30:CK30"/>
    <mergeCell ref="DD28:DH28"/>
    <mergeCell ref="DJ28:DL28"/>
    <mergeCell ref="DM28:DP28"/>
    <mergeCell ref="BO29:BR29"/>
    <mergeCell ref="BS29:BW29"/>
    <mergeCell ref="BX29:CB29"/>
    <mergeCell ref="CC29:CG29"/>
    <mergeCell ref="CH29:CK29"/>
    <mergeCell ref="CL29:CO29"/>
    <mergeCell ref="CP29:CS29"/>
    <mergeCell ref="DD31:DH31"/>
    <mergeCell ref="DJ31:DL31"/>
    <mergeCell ref="DM31:DP31"/>
    <mergeCell ref="BO32:BR32"/>
    <mergeCell ref="BS32:BW32"/>
    <mergeCell ref="BX32:CB32"/>
    <mergeCell ref="CC32:CG32"/>
    <mergeCell ref="CH32:CK32"/>
    <mergeCell ref="CL32:CO32"/>
    <mergeCell ref="CP32:CS32"/>
    <mergeCell ref="DM30:DP30"/>
    <mergeCell ref="BO31:BR31"/>
    <mergeCell ref="BS31:BW31"/>
    <mergeCell ref="BX31:CB31"/>
    <mergeCell ref="CC31:CG31"/>
    <mergeCell ref="CH31:CK31"/>
    <mergeCell ref="CL31:CO31"/>
    <mergeCell ref="CP31:CS31"/>
    <mergeCell ref="CT31:CX31"/>
    <mergeCell ref="CZ31:DC31"/>
    <mergeCell ref="CL30:CO30"/>
    <mergeCell ref="CP30:CS30"/>
    <mergeCell ref="CT30:CX30"/>
    <mergeCell ref="CZ30:DC30"/>
    <mergeCell ref="DD30:DH30"/>
    <mergeCell ref="DJ30:DL30"/>
    <mergeCell ref="DM33:DP33"/>
    <mergeCell ref="BO34:BR34"/>
    <mergeCell ref="BS34:BW34"/>
    <mergeCell ref="BX34:CB34"/>
    <mergeCell ref="CC34:CG34"/>
    <mergeCell ref="CH34:CK34"/>
    <mergeCell ref="CL34:CO34"/>
    <mergeCell ref="CP34:CS34"/>
    <mergeCell ref="CT34:CX34"/>
    <mergeCell ref="CZ34:DC34"/>
    <mergeCell ref="CL33:CO33"/>
    <mergeCell ref="CP33:CS33"/>
    <mergeCell ref="CT33:CX33"/>
    <mergeCell ref="CZ33:DC33"/>
    <mergeCell ref="DD33:DH33"/>
    <mergeCell ref="DJ33:DL33"/>
    <mergeCell ref="CT32:CX32"/>
    <mergeCell ref="CZ32:DC32"/>
    <mergeCell ref="DD32:DH32"/>
    <mergeCell ref="DJ32:DL32"/>
    <mergeCell ref="DM32:DP32"/>
    <mergeCell ref="BO33:BR33"/>
    <mergeCell ref="BS33:BW33"/>
    <mergeCell ref="BX33:CB33"/>
    <mergeCell ref="CC33:CG33"/>
    <mergeCell ref="CH33:CK33"/>
    <mergeCell ref="CT35:CX35"/>
    <mergeCell ref="CZ35:DC35"/>
    <mergeCell ref="DD35:DH35"/>
    <mergeCell ref="DJ35:DL35"/>
    <mergeCell ref="DM35:DP35"/>
    <mergeCell ref="BO36:BR36"/>
    <mergeCell ref="BS36:BW36"/>
    <mergeCell ref="BX36:CB36"/>
    <mergeCell ref="CC36:CG36"/>
    <mergeCell ref="CH36:CK36"/>
    <mergeCell ref="DD34:DH34"/>
    <mergeCell ref="DJ34:DL34"/>
    <mergeCell ref="DM34:DP34"/>
    <mergeCell ref="BO35:BR35"/>
    <mergeCell ref="BS35:BW35"/>
    <mergeCell ref="BX35:CB35"/>
    <mergeCell ref="CC35:CG35"/>
    <mergeCell ref="CH35:CK35"/>
    <mergeCell ref="CL35:CO35"/>
    <mergeCell ref="CP35:CS35"/>
    <mergeCell ref="CT38:CX38"/>
    <mergeCell ref="CZ38:DC38"/>
    <mergeCell ref="DD38:DH38"/>
    <mergeCell ref="DJ38:DL38"/>
    <mergeCell ref="DM38:DP38"/>
    <mergeCell ref="BO39:BR39"/>
    <mergeCell ref="BS39:BW39"/>
    <mergeCell ref="BX39:CB39"/>
    <mergeCell ref="CC39:CG39"/>
    <mergeCell ref="CH39:CK39"/>
    <mergeCell ref="DM36:DP36"/>
    <mergeCell ref="BS37:BW37"/>
    <mergeCell ref="BX37:CB37"/>
    <mergeCell ref="BO38:BR38"/>
    <mergeCell ref="BS38:BW38"/>
    <mergeCell ref="BX38:CB38"/>
    <mergeCell ref="CC38:CG38"/>
    <mergeCell ref="CH38:CK38"/>
    <mergeCell ref="CL38:CO38"/>
    <mergeCell ref="CP38:CS38"/>
    <mergeCell ref="CL36:CO36"/>
    <mergeCell ref="CP36:CS36"/>
    <mergeCell ref="CT36:CX36"/>
    <mergeCell ref="CZ36:DC36"/>
    <mergeCell ref="DD36:DH36"/>
    <mergeCell ref="DJ36:DL36"/>
    <mergeCell ref="DD40:DH40"/>
    <mergeCell ref="DJ40:DL40"/>
    <mergeCell ref="DM40:DP40"/>
    <mergeCell ref="BO41:BR41"/>
    <mergeCell ref="BS41:BW41"/>
    <mergeCell ref="BX41:CB41"/>
    <mergeCell ref="CC41:CG41"/>
    <mergeCell ref="CH41:CK41"/>
    <mergeCell ref="CL41:CO41"/>
    <mergeCell ref="CP41:CS41"/>
    <mergeCell ref="DM39:DP39"/>
    <mergeCell ref="BO40:BR40"/>
    <mergeCell ref="BS40:BW40"/>
    <mergeCell ref="BX40:CB40"/>
    <mergeCell ref="CC40:CG40"/>
    <mergeCell ref="CH40:CK40"/>
    <mergeCell ref="CL40:CO40"/>
    <mergeCell ref="CP40:CS40"/>
    <mergeCell ref="CT40:CX40"/>
    <mergeCell ref="CZ40:DC40"/>
    <mergeCell ref="CL39:CO39"/>
    <mergeCell ref="CP39:CS39"/>
    <mergeCell ref="CT39:CX39"/>
    <mergeCell ref="CZ39:DC39"/>
    <mergeCell ref="DD39:DH39"/>
    <mergeCell ref="DJ39:DL39"/>
    <mergeCell ref="DM42:DP42"/>
    <mergeCell ref="BO45:BR45"/>
    <mergeCell ref="BS45:BW45"/>
    <mergeCell ref="BX45:CB45"/>
    <mergeCell ref="CC45:CG45"/>
    <mergeCell ref="CH45:CK45"/>
    <mergeCell ref="CL45:CO45"/>
    <mergeCell ref="CP45:CS45"/>
    <mergeCell ref="CT45:CX45"/>
    <mergeCell ref="CZ45:DC45"/>
    <mergeCell ref="CL42:CO42"/>
    <mergeCell ref="CP42:CS42"/>
    <mergeCell ref="CT42:CX42"/>
    <mergeCell ref="CY42:DC42"/>
    <mergeCell ref="DD42:DH42"/>
    <mergeCell ref="DI42:DL42"/>
    <mergeCell ref="CT41:CX41"/>
    <mergeCell ref="CY41:DC41"/>
    <mergeCell ref="DD41:DH41"/>
    <mergeCell ref="DI41:DL41"/>
    <mergeCell ref="DM41:DP41"/>
    <mergeCell ref="BO42:BR42"/>
    <mergeCell ref="BS42:BW42"/>
    <mergeCell ref="BX42:CB42"/>
    <mergeCell ref="CC42:CG42"/>
    <mergeCell ref="CH42:CK42"/>
    <mergeCell ref="CT47:CX47"/>
    <mergeCell ref="CZ47:DC47"/>
    <mergeCell ref="DD47:DH47"/>
    <mergeCell ref="DJ47:DL47"/>
    <mergeCell ref="DM47:DP47"/>
    <mergeCell ref="CC48:CG48"/>
    <mergeCell ref="CP48:CS48"/>
    <mergeCell ref="CT48:CX48"/>
    <mergeCell ref="DJ48:DL48"/>
    <mergeCell ref="DD45:DH45"/>
    <mergeCell ref="DJ45:DL45"/>
    <mergeCell ref="DM45:DP45"/>
    <mergeCell ref="BO47:BR47"/>
    <mergeCell ref="BS47:BW47"/>
    <mergeCell ref="BX47:CB47"/>
    <mergeCell ref="CC47:CG47"/>
    <mergeCell ref="CH47:CK47"/>
    <mergeCell ref="CL47:CO47"/>
    <mergeCell ref="CP47:CS47"/>
    <mergeCell ref="CP53:CS53"/>
    <mergeCell ref="CT53:CX53"/>
    <mergeCell ref="CY53:DC53"/>
    <mergeCell ref="DD53:DH53"/>
    <mergeCell ref="DI53:DL53"/>
    <mergeCell ref="DM53:DP53"/>
    <mergeCell ref="CY52:DC52"/>
    <mergeCell ref="DD52:DH52"/>
    <mergeCell ref="DI52:DL52"/>
    <mergeCell ref="DM52:DP52"/>
    <mergeCell ref="BO53:BR53"/>
    <mergeCell ref="BS53:BW53"/>
    <mergeCell ref="BX53:CB53"/>
    <mergeCell ref="CC53:CG53"/>
    <mergeCell ref="CH53:CK53"/>
    <mergeCell ref="CL53:CO53"/>
    <mergeCell ref="CR49:CV49"/>
    <mergeCell ref="CR50:CV50"/>
    <mergeCell ref="BO52:BR52"/>
    <mergeCell ref="BS52:BW52"/>
    <mergeCell ref="BX52:CB52"/>
    <mergeCell ref="CC52:CG52"/>
    <mergeCell ref="CH52:CK52"/>
    <mergeCell ref="CL52:CO52"/>
    <mergeCell ref="CP52:CS52"/>
    <mergeCell ref="CT52:CX52"/>
    <mergeCell ref="CP55:CS55"/>
    <mergeCell ref="CT55:CX55"/>
    <mergeCell ref="CY55:DC55"/>
    <mergeCell ref="DD55:DH55"/>
    <mergeCell ref="DI55:DL55"/>
    <mergeCell ref="DM55:DP55"/>
    <mergeCell ref="BO55:BR55"/>
    <mergeCell ref="BS55:BW55"/>
    <mergeCell ref="BX55:CB55"/>
    <mergeCell ref="CC55:CG55"/>
    <mergeCell ref="CH55:CK55"/>
    <mergeCell ref="CL55:CO55"/>
    <mergeCell ref="CP54:CS54"/>
    <mergeCell ref="CT54:CX54"/>
    <mergeCell ref="CY54:DC54"/>
    <mergeCell ref="DD54:DH54"/>
    <mergeCell ref="DI54:DL54"/>
    <mergeCell ref="DM54:DP54"/>
    <mergeCell ref="BO54:BR54"/>
    <mergeCell ref="BS54:BW54"/>
    <mergeCell ref="BX54:CB54"/>
    <mergeCell ref="CC54:CG54"/>
    <mergeCell ref="CH54:CK54"/>
    <mergeCell ref="CL54:CO54"/>
    <mergeCell ref="CP57:CS57"/>
    <mergeCell ref="CT57:CX57"/>
    <mergeCell ref="CY57:DC57"/>
    <mergeCell ref="DD57:DH57"/>
    <mergeCell ref="DI57:DL57"/>
    <mergeCell ref="DM57:DP57"/>
    <mergeCell ref="BO57:BR57"/>
    <mergeCell ref="BS57:BW57"/>
    <mergeCell ref="BX57:CB57"/>
    <mergeCell ref="CC57:CG57"/>
    <mergeCell ref="CH57:CK57"/>
    <mergeCell ref="CL57:CO57"/>
    <mergeCell ref="CP56:CS56"/>
    <mergeCell ref="CT56:CX56"/>
    <mergeCell ref="CY56:DC56"/>
    <mergeCell ref="DD56:DH56"/>
    <mergeCell ref="DI56:DL56"/>
    <mergeCell ref="DM56:DP56"/>
    <mergeCell ref="BO56:BR56"/>
    <mergeCell ref="BS56:BW56"/>
    <mergeCell ref="BX56:CB56"/>
    <mergeCell ref="CC56:CG56"/>
    <mergeCell ref="CH56:CK56"/>
    <mergeCell ref="CL56:CO56"/>
    <mergeCell ref="CP59:CS59"/>
    <mergeCell ref="CT59:CX59"/>
    <mergeCell ref="CY59:DC59"/>
    <mergeCell ref="DD59:DH59"/>
    <mergeCell ref="DI59:DL59"/>
    <mergeCell ref="DM59:DP59"/>
    <mergeCell ref="BO59:BR59"/>
    <mergeCell ref="BS59:BW59"/>
    <mergeCell ref="BX59:CB59"/>
    <mergeCell ref="CC59:CG59"/>
    <mergeCell ref="CH59:CK59"/>
    <mergeCell ref="CL59:CO59"/>
    <mergeCell ref="CP58:CS58"/>
    <mergeCell ref="CT58:CX58"/>
    <mergeCell ref="CY58:DC58"/>
    <mergeCell ref="DD58:DH58"/>
    <mergeCell ref="DI58:DL58"/>
    <mergeCell ref="DM58:DP58"/>
    <mergeCell ref="BO58:BR58"/>
    <mergeCell ref="BS58:BW58"/>
    <mergeCell ref="BX58:CB58"/>
    <mergeCell ref="CC58:CG58"/>
    <mergeCell ref="CH58:CK58"/>
    <mergeCell ref="CL58:CO58"/>
    <mergeCell ref="CC64:CG64"/>
    <mergeCell ref="CH64:CK64"/>
    <mergeCell ref="CL64:CO64"/>
    <mergeCell ref="CP61:CS61"/>
    <mergeCell ref="CT61:CX61"/>
    <mergeCell ref="CY61:DC61"/>
    <mergeCell ref="DD61:DH61"/>
    <mergeCell ref="DI61:DL61"/>
    <mergeCell ref="DM61:DP61"/>
    <mergeCell ref="BO61:BR61"/>
    <mergeCell ref="BS61:BW61"/>
    <mergeCell ref="BX61:CB61"/>
    <mergeCell ref="CC61:CG61"/>
    <mergeCell ref="CH61:CK61"/>
    <mergeCell ref="CL61:CO61"/>
    <mergeCell ref="CP60:CS60"/>
    <mergeCell ref="CT60:CX60"/>
    <mergeCell ref="CY60:DC60"/>
    <mergeCell ref="DD60:DH60"/>
    <mergeCell ref="DI60:DL60"/>
    <mergeCell ref="DM60:DP60"/>
    <mergeCell ref="BO60:BR60"/>
    <mergeCell ref="BS60:BW60"/>
    <mergeCell ref="BX60:CB60"/>
    <mergeCell ref="CC60:CG60"/>
    <mergeCell ref="CH60:CK60"/>
    <mergeCell ref="CL60:CO60"/>
    <mergeCell ref="CP68:CS68"/>
    <mergeCell ref="CT68:CX68"/>
    <mergeCell ref="CY68:DC68"/>
    <mergeCell ref="DD68:DH68"/>
    <mergeCell ref="BO1:DP2"/>
    <mergeCell ref="BO68:BR68"/>
    <mergeCell ref="BS68:BW68"/>
    <mergeCell ref="BX68:CB68"/>
    <mergeCell ref="CC68:CG68"/>
    <mergeCell ref="CH68:CK68"/>
    <mergeCell ref="CL68:CO68"/>
    <mergeCell ref="CP66:CS66"/>
    <mergeCell ref="CT66:CX66"/>
    <mergeCell ref="CY66:DC66"/>
    <mergeCell ref="DD66:DH66"/>
    <mergeCell ref="DI66:DL66"/>
    <mergeCell ref="DM66:DP66"/>
    <mergeCell ref="BO66:BR66"/>
    <mergeCell ref="BS66:BW66"/>
    <mergeCell ref="BX66:CB66"/>
    <mergeCell ref="CC66:CG66"/>
    <mergeCell ref="CH66:CK66"/>
    <mergeCell ref="CL66:CO66"/>
    <mergeCell ref="CP64:CS64"/>
    <mergeCell ref="CT64:CX64"/>
    <mergeCell ref="CY64:DC64"/>
    <mergeCell ref="DD64:DH64"/>
    <mergeCell ref="DI64:DL64"/>
    <mergeCell ref="DM64:DP64"/>
    <mergeCell ref="BO64:BR64"/>
    <mergeCell ref="BS64:BW64"/>
    <mergeCell ref="BX64:CB64"/>
  </mergeCells>
  <printOptions horizontalCentered="1"/>
  <pageMargins left="0.7" right="0.7" top="0.75" bottom="0.75" header="0" footer="0"/>
  <pageSetup paperSize="3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3B51-F7DC-1A4C-B9CD-BCA4FECAFCB4}">
  <sheetPr>
    <tabColor rgb="FF6AA84F"/>
    <outlinePr summaryBelow="0" summaryRight="0"/>
    <pageSetUpPr fitToPage="1"/>
  </sheetPr>
  <dimension ref="A1:CW154"/>
  <sheetViews>
    <sheetView zoomScale="66" zoomScaleNormal="66" workbookViewId="0">
      <pane xSplit="4" ySplit="8" topLeftCell="J9" activePane="bottomRight" state="frozen"/>
      <selection pane="bottomRight" activeCell="AY25" sqref="AY25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6.140625" customWidth="1"/>
    <col min="5" max="26" width="3" customWidth="1"/>
    <col min="27" max="28" width="3.7109375" customWidth="1"/>
    <col min="29" max="34" width="3" customWidth="1"/>
    <col min="35" max="35" width="3.85546875" customWidth="1"/>
    <col min="36" max="40" width="3" customWidth="1"/>
    <col min="41" max="41" width="11" customWidth="1"/>
    <col min="42" max="42" width="2.28515625" customWidth="1"/>
    <col min="43" max="43" width="1" customWidth="1"/>
    <col min="44" max="44" width="3.85546875" customWidth="1"/>
    <col min="45" max="45" width="5" customWidth="1"/>
    <col min="46" max="50" width="3" customWidth="1"/>
    <col min="51" max="51" width="13.140625" customWidth="1"/>
    <col min="52" max="52" width="3" customWidth="1"/>
    <col min="53" max="53" width="4" customWidth="1"/>
    <col min="54" max="54" width="6.7109375" customWidth="1"/>
    <col min="55" max="58" width="3" customWidth="1"/>
    <col min="59" max="59" width="3.28515625" customWidth="1"/>
    <col min="60" max="60" width="13.7109375" bestFit="1" customWidth="1"/>
    <col min="61" max="61" width="9.28515625" bestFit="1" customWidth="1"/>
    <col min="62" max="88" width="9.28515625" customWidth="1"/>
    <col min="89" max="89" width="2.7109375" customWidth="1"/>
    <col min="90" max="90" width="13.28515625" customWidth="1"/>
    <col min="91" max="91" width="7" customWidth="1"/>
    <col min="92" max="92" width="14.85546875" customWidth="1"/>
    <col min="93" max="93" width="7.28515625" customWidth="1"/>
    <col min="94" max="94" width="3.28515625" customWidth="1"/>
    <col min="95" max="95" width="14.140625" customWidth="1"/>
    <col min="96" max="98" width="7.28515625" customWidth="1"/>
    <col min="101" max="101" width="14.7109375" bestFit="1" customWidth="1"/>
  </cols>
  <sheetData>
    <row r="1" spans="1:98" ht="12.95" customHeight="1">
      <c r="A1" s="1"/>
      <c r="B1" s="1"/>
      <c r="C1" s="1"/>
      <c r="D1" s="1"/>
      <c r="E1" s="123" t="s">
        <v>93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12.95">
      <c r="A2" s="1"/>
      <c r="B2" s="1"/>
      <c r="C2" s="1"/>
      <c r="D2" s="1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4.1" thickBot="1">
      <c r="A3" s="1" t="s">
        <v>2</v>
      </c>
      <c r="B3" s="1"/>
      <c r="C3" s="1">
        <v>2</v>
      </c>
      <c r="D3" s="1">
        <v>95000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4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4.1" thickBot="1">
      <c r="A4" s="1"/>
      <c r="B4" s="1"/>
      <c r="C4" s="1"/>
      <c r="D4" s="1"/>
      <c r="E4" s="175" t="s">
        <v>3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2"/>
      <c r="T5" s="182" t="s">
        <v>4</v>
      </c>
      <c r="U5" s="187"/>
      <c r="V5" s="188"/>
      <c r="W5" s="1"/>
      <c r="X5" s="5"/>
      <c r="Y5" s="182" t="s">
        <v>5</v>
      </c>
      <c r="Z5" s="187"/>
      <c r="AA5" s="188"/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66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48.75" customHeight="1" thickBot="1">
      <c r="A6" s="1"/>
      <c r="B6" s="1"/>
      <c r="C6" s="1"/>
      <c r="D6" s="7" t="s">
        <v>6</v>
      </c>
      <c r="E6" s="177" t="s">
        <v>7</v>
      </c>
      <c r="F6" s="185"/>
      <c r="G6" s="185"/>
      <c r="H6" s="186"/>
      <c r="I6" s="175" t="s">
        <v>3</v>
      </c>
      <c r="J6" s="185"/>
      <c r="K6" s="185"/>
      <c r="L6" s="185"/>
      <c r="M6" s="186"/>
      <c r="N6" s="175" t="s">
        <v>8</v>
      </c>
      <c r="O6" s="185"/>
      <c r="P6" s="185"/>
      <c r="Q6" s="185"/>
      <c r="R6" s="186"/>
      <c r="S6" s="175" t="s">
        <v>9</v>
      </c>
      <c r="T6" s="185"/>
      <c r="U6" s="185"/>
      <c r="V6" s="185"/>
      <c r="W6" s="186"/>
      <c r="X6" s="181" t="s">
        <v>10</v>
      </c>
      <c r="Y6" s="185"/>
      <c r="Z6" s="185"/>
      <c r="AA6" s="186"/>
      <c r="AB6" s="175" t="s">
        <v>11</v>
      </c>
      <c r="AC6" s="185"/>
      <c r="AD6" s="185"/>
      <c r="AE6" s="186"/>
      <c r="AF6" s="175" t="s">
        <v>12</v>
      </c>
      <c r="AG6" s="185"/>
      <c r="AH6" s="185"/>
      <c r="AI6" s="186"/>
      <c r="AJ6" s="175" t="s">
        <v>13</v>
      </c>
      <c r="AK6" s="185"/>
      <c r="AL6" s="185"/>
      <c r="AM6" s="185"/>
      <c r="AN6" s="186"/>
      <c r="AO6" s="8" t="s">
        <v>14</v>
      </c>
      <c r="AP6" s="175" t="s">
        <v>15</v>
      </c>
      <c r="AQ6" s="185"/>
      <c r="AR6" s="185"/>
      <c r="AS6" s="186"/>
      <c r="AT6" s="175" t="s">
        <v>16</v>
      </c>
      <c r="AU6" s="185"/>
      <c r="AV6" s="185"/>
      <c r="AW6" s="185"/>
      <c r="AX6" s="186"/>
      <c r="AY6" s="8" t="s">
        <v>17</v>
      </c>
      <c r="AZ6" s="177" t="s">
        <v>18</v>
      </c>
      <c r="BA6" s="178"/>
      <c r="BB6" s="179"/>
      <c r="BC6" s="175" t="s">
        <v>3</v>
      </c>
      <c r="BD6" s="185"/>
      <c r="BE6" s="185"/>
      <c r="BF6" s="186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19</v>
      </c>
      <c r="CO6" s="1"/>
      <c r="CP6" s="1"/>
      <c r="CQ6" s="1"/>
      <c r="CR6" s="1"/>
      <c r="CS6" s="1"/>
      <c r="CT6" s="1"/>
    </row>
    <row r="7" spans="1:98" ht="14.1" thickBot="1">
      <c r="A7" s="9"/>
      <c r="B7" s="10"/>
      <c r="C7" s="10"/>
      <c r="D7" s="7" t="s">
        <v>20</v>
      </c>
      <c r="E7" s="175" t="s">
        <v>21</v>
      </c>
      <c r="F7" s="185"/>
      <c r="G7" s="185"/>
      <c r="H7" s="186"/>
      <c r="I7" s="175" t="s">
        <v>22</v>
      </c>
      <c r="J7" s="185"/>
      <c r="K7" s="185"/>
      <c r="L7" s="185"/>
      <c r="M7" s="186"/>
      <c r="N7" s="175" t="s">
        <v>23</v>
      </c>
      <c r="O7" s="185"/>
      <c r="P7" s="185"/>
      <c r="Q7" s="185"/>
      <c r="R7" s="186"/>
      <c r="S7" s="180" t="s">
        <v>24</v>
      </c>
      <c r="T7" s="189"/>
      <c r="U7" s="189"/>
      <c r="V7" s="189"/>
      <c r="W7" s="190"/>
      <c r="X7" s="175" t="s">
        <v>25</v>
      </c>
      <c r="Y7" s="185"/>
      <c r="Z7" s="185"/>
      <c r="AA7" s="186"/>
      <c r="AB7" s="175" t="s">
        <v>26</v>
      </c>
      <c r="AC7" s="185"/>
      <c r="AD7" s="185"/>
      <c r="AE7" s="186"/>
      <c r="AF7" s="175" t="s">
        <v>27</v>
      </c>
      <c r="AG7" s="185"/>
      <c r="AH7" s="185"/>
      <c r="AI7" s="186"/>
      <c r="AJ7" s="175" t="s">
        <v>28</v>
      </c>
      <c r="AK7" s="185"/>
      <c r="AL7" s="185"/>
      <c r="AM7" s="185"/>
      <c r="AN7" s="186"/>
      <c r="AO7" s="11" t="s">
        <v>29</v>
      </c>
      <c r="AP7" s="175" t="s">
        <v>29</v>
      </c>
      <c r="AQ7" s="185"/>
      <c r="AR7" s="185"/>
      <c r="AS7" s="186"/>
      <c r="AT7" s="175" t="s">
        <v>30</v>
      </c>
      <c r="AU7" s="185"/>
      <c r="AV7" s="185"/>
      <c r="AW7" s="185"/>
      <c r="AX7" s="186"/>
      <c r="AY7" s="11" t="s">
        <v>17</v>
      </c>
      <c r="AZ7" s="175" t="s">
        <v>17</v>
      </c>
      <c r="BA7" s="185"/>
      <c r="BB7" s="186"/>
      <c r="BC7" s="175" t="s">
        <v>31</v>
      </c>
      <c r="BD7" s="185"/>
      <c r="BE7" s="185"/>
      <c r="BF7" s="186"/>
      <c r="BG7" s="12"/>
      <c r="BH7" s="11" t="s">
        <v>32</v>
      </c>
      <c r="BI7" s="11" t="s">
        <v>33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L7" s="11" t="s">
        <v>35</v>
      </c>
      <c r="CM7" s="11" t="s">
        <v>33</v>
      </c>
      <c r="CN7" s="11" t="s">
        <v>36</v>
      </c>
      <c r="CO7" s="11" t="s">
        <v>37</v>
      </c>
      <c r="CP7" s="2"/>
      <c r="CQ7" s="11" t="s">
        <v>38</v>
      </c>
      <c r="CR7" s="2"/>
      <c r="CS7" s="2"/>
      <c r="CT7" s="2"/>
    </row>
    <row r="8" spans="1:98" ht="14.1" thickBot="1">
      <c r="A8" s="13"/>
      <c r="B8" s="13"/>
      <c r="C8" s="13"/>
      <c r="D8" s="14"/>
      <c r="E8" s="15">
        <v>29</v>
      </c>
      <c r="F8" s="15">
        <v>5</v>
      </c>
      <c r="G8" s="15">
        <v>12</v>
      </c>
      <c r="H8" s="15">
        <v>19</v>
      </c>
      <c r="I8" s="15">
        <v>26</v>
      </c>
      <c r="J8" s="15">
        <v>3</v>
      </c>
      <c r="K8" s="15">
        <v>10</v>
      </c>
      <c r="L8" s="15">
        <v>17</v>
      </c>
      <c r="M8" s="15">
        <v>24</v>
      </c>
      <c r="N8" s="15">
        <v>31</v>
      </c>
      <c r="O8" s="15">
        <v>6</v>
      </c>
      <c r="P8" s="15">
        <v>12</v>
      </c>
      <c r="Q8" s="15">
        <v>19</v>
      </c>
      <c r="R8" s="15">
        <v>28</v>
      </c>
      <c r="S8" s="176">
        <v>4</v>
      </c>
      <c r="T8" s="186"/>
      <c r="U8" s="15">
        <v>11</v>
      </c>
      <c r="V8" s="15">
        <v>18</v>
      </c>
      <c r="W8" s="15">
        <v>25</v>
      </c>
      <c r="X8" s="15">
        <v>3</v>
      </c>
      <c r="Y8" s="15">
        <v>10</v>
      </c>
      <c r="Z8" s="15">
        <v>17</v>
      </c>
      <c r="AA8" s="15">
        <v>24</v>
      </c>
      <c r="AB8" s="67">
        <v>31</v>
      </c>
      <c r="AC8" s="15">
        <v>7</v>
      </c>
      <c r="AD8" s="15">
        <v>14</v>
      </c>
      <c r="AE8" s="15">
        <v>21</v>
      </c>
      <c r="AF8" s="67">
        <v>28</v>
      </c>
      <c r="AG8" s="15">
        <v>5</v>
      </c>
      <c r="AH8" s="15">
        <v>12</v>
      </c>
      <c r="AI8" s="15">
        <v>19</v>
      </c>
      <c r="AJ8" s="15">
        <v>26</v>
      </c>
      <c r="AK8" s="67">
        <v>2</v>
      </c>
      <c r="AL8" s="15">
        <v>9</v>
      </c>
      <c r="AM8" s="15">
        <v>16</v>
      </c>
      <c r="AN8" s="15">
        <v>23</v>
      </c>
      <c r="AO8" s="67">
        <v>30</v>
      </c>
      <c r="AP8" s="176">
        <v>7</v>
      </c>
      <c r="AQ8" s="186"/>
      <c r="AR8" s="15">
        <v>14</v>
      </c>
      <c r="AS8" s="15">
        <v>21</v>
      </c>
      <c r="AT8" s="15">
        <v>28</v>
      </c>
      <c r="AU8" s="15">
        <v>4</v>
      </c>
      <c r="AV8" s="15">
        <v>11</v>
      </c>
      <c r="AW8" s="15">
        <v>18</v>
      </c>
      <c r="AX8" s="15">
        <v>25</v>
      </c>
      <c r="AY8" s="11" t="s">
        <v>39</v>
      </c>
      <c r="AZ8" s="15">
        <v>8</v>
      </c>
      <c r="BA8" s="67">
        <v>15</v>
      </c>
      <c r="BB8" s="15">
        <v>22</v>
      </c>
      <c r="BC8" s="15">
        <v>29</v>
      </c>
      <c r="BD8" s="15">
        <v>6</v>
      </c>
      <c r="BE8" s="15">
        <v>13</v>
      </c>
      <c r="BF8" s="15">
        <v>20</v>
      </c>
      <c r="BG8" s="16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L8" s="17"/>
      <c r="CM8" s="17"/>
      <c r="CN8" s="17"/>
      <c r="CO8" s="17"/>
      <c r="CP8" s="17"/>
      <c r="CQ8" s="17"/>
      <c r="CR8" s="17"/>
      <c r="CS8" s="17"/>
      <c r="CT8" s="17"/>
    </row>
    <row r="9" spans="1:98" ht="18">
      <c r="A9" s="18"/>
      <c r="B9" s="18"/>
      <c r="C9" s="18"/>
      <c r="D9" s="184" t="s">
        <v>40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21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ht="18.95" thickBot="1">
      <c r="A10" s="18"/>
      <c r="B10" s="18"/>
      <c r="C10" s="18"/>
      <c r="D10" s="191"/>
      <c r="E10" s="174">
        <v>0.91891891891891886</v>
      </c>
      <c r="F10" s="174"/>
      <c r="G10" s="174"/>
      <c r="H10" s="174"/>
      <c r="I10" s="172">
        <v>0.91891891891891886</v>
      </c>
      <c r="J10" s="172"/>
      <c r="K10" s="172"/>
      <c r="L10" s="172"/>
      <c r="M10" s="172"/>
      <c r="N10" s="172">
        <v>0.91891891891891886</v>
      </c>
      <c r="O10" s="172"/>
      <c r="P10" s="172"/>
      <c r="Q10" s="172"/>
      <c r="R10" s="172"/>
      <c r="S10" s="172">
        <v>0.91891891891891886</v>
      </c>
      <c r="T10" s="172"/>
      <c r="U10" s="172"/>
      <c r="V10" s="172"/>
      <c r="W10" s="172"/>
      <c r="X10" s="169">
        <v>0.91891891891891897</v>
      </c>
      <c r="Y10" s="170"/>
      <c r="Z10" s="170"/>
      <c r="AA10" s="170"/>
      <c r="AB10" s="169">
        <v>0.91891891891891886</v>
      </c>
      <c r="AC10" s="170"/>
      <c r="AD10" s="170"/>
      <c r="AE10" s="170"/>
      <c r="AF10" s="169">
        <v>0.91891891891891886</v>
      </c>
      <c r="AG10" s="170"/>
      <c r="AH10" s="170"/>
      <c r="AI10" s="170"/>
      <c r="AJ10" s="171">
        <v>0.91891891891891886</v>
      </c>
      <c r="AK10" s="171"/>
      <c r="AL10" s="171"/>
      <c r="AM10" s="171"/>
      <c r="AN10" s="171"/>
      <c r="AO10" s="75">
        <v>0.91891891891891897</v>
      </c>
      <c r="AP10" s="171">
        <v>0.91891891891891897</v>
      </c>
      <c r="AQ10" s="171"/>
      <c r="AR10" s="171"/>
      <c r="AS10" s="171"/>
      <c r="AT10" s="172">
        <v>0.91891891891891897</v>
      </c>
      <c r="AU10" s="172"/>
      <c r="AV10" s="172"/>
      <c r="AW10" s="172"/>
      <c r="AX10" s="172"/>
      <c r="AY10" s="76">
        <v>0.91891891891891897</v>
      </c>
      <c r="AZ10" s="173">
        <v>0.91891891891891897</v>
      </c>
      <c r="BA10" s="173"/>
      <c r="BB10" s="173"/>
      <c r="BC10" s="173">
        <v>0.91891891891891897</v>
      </c>
      <c r="BD10" s="173"/>
      <c r="BE10" s="173"/>
      <c r="BF10" s="173"/>
      <c r="BG10" s="21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L10" s="22"/>
      <c r="CM10" s="22"/>
      <c r="CN10" s="22"/>
      <c r="CO10" s="22"/>
      <c r="CP10" s="22"/>
      <c r="CQ10" s="22"/>
      <c r="CR10" s="22"/>
      <c r="CS10" s="22"/>
      <c r="CT10" s="22"/>
    </row>
    <row r="11" spans="1:98" ht="15" thickBot="1">
      <c r="A11" s="25" t="s">
        <v>41</v>
      </c>
      <c r="B11" s="25"/>
      <c r="C11" s="25"/>
      <c r="D11" s="26" t="s">
        <v>42</v>
      </c>
      <c r="E11" s="192">
        <v>0</v>
      </c>
      <c r="F11" s="185"/>
      <c r="G11" s="185"/>
      <c r="H11" s="186"/>
      <c r="I11" s="192">
        <v>0</v>
      </c>
      <c r="J11" s="185"/>
      <c r="K11" s="185"/>
      <c r="L11" s="185"/>
      <c r="M11" s="186"/>
      <c r="N11" s="192">
        <v>0</v>
      </c>
      <c r="O11" s="185"/>
      <c r="P11" s="185"/>
      <c r="Q11" s="185"/>
      <c r="R11" s="186"/>
      <c r="S11" s="192">
        <f>190000*S10</f>
        <v>174594.59459459459</v>
      </c>
      <c r="T11" s="185"/>
      <c r="U11" s="185"/>
      <c r="V11" s="185"/>
      <c r="W11" s="186"/>
      <c r="X11" s="192">
        <f>240000*X10</f>
        <v>220540.54054054056</v>
      </c>
      <c r="Y11" s="185"/>
      <c r="Z11" s="185"/>
      <c r="AA11" s="186"/>
      <c r="AB11" s="192">
        <f>AB10*380000</f>
        <v>349189.18918918917</v>
      </c>
      <c r="AC11" s="185"/>
      <c r="AD11" s="185"/>
      <c r="AE11" s="186"/>
      <c r="AF11" s="192">
        <f>AF10*285000</f>
        <v>261891.89189189186</v>
      </c>
      <c r="AG11" s="185"/>
      <c r="AH11" s="185"/>
      <c r="AI11" s="186"/>
      <c r="AJ11" s="192">
        <v>0</v>
      </c>
      <c r="AK11" s="185"/>
      <c r="AL11" s="185"/>
      <c r="AM11" s="185"/>
      <c r="AN11" s="186"/>
      <c r="AO11" s="193">
        <v>0</v>
      </c>
      <c r="AP11" s="192">
        <f>AP10*150000</f>
        <v>137837.83783783784</v>
      </c>
      <c r="AQ11" s="185"/>
      <c r="AR11" s="185"/>
      <c r="AS11" s="186"/>
      <c r="AT11" s="192">
        <f>AT10*45000</f>
        <v>41351.351351351354</v>
      </c>
      <c r="AU11" s="185"/>
      <c r="AV11" s="185"/>
      <c r="AW11" s="185"/>
      <c r="AX11" s="186"/>
      <c r="AY11" s="194">
        <v>0</v>
      </c>
      <c r="AZ11" s="192">
        <f>AZ10*190000</f>
        <v>174594.59459459462</v>
      </c>
      <c r="BA11" s="185"/>
      <c r="BB11" s="186"/>
      <c r="BC11" s="192">
        <v>0</v>
      </c>
      <c r="BD11" s="185"/>
      <c r="BE11" s="185"/>
      <c r="BF11" s="186"/>
      <c r="BG11" s="27"/>
      <c r="BH11" s="28">
        <f>BC11+AZ11+AY11+AT11+AP11+AO11+AJ11+AF11+AB11+X11+S11+N11+I11+E11</f>
        <v>1360000</v>
      </c>
      <c r="BI11" s="29">
        <f t="shared" ref="BI11:BI19" si="0">BH11/$BH$38</f>
        <v>0.37964716337444565</v>
      </c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L11" s="28">
        <v>1578892.76</v>
      </c>
      <c r="CM11" s="29">
        <v>0.41189330063297536</v>
      </c>
      <c r="CN11" s="28">
        <v>-98892.760000000009</v>
      </c>
      <c r="CO11" s="30">
        <v>-6.2634247559663278E-2</v>
      </c>
      <c r="CP11" s="31"/>
      <c r="CQ11" s="28">
        <v>1435000</v>
      </c>
      <c r="CR11" s="31"/>
      <c r="CS11" s="31"/>
      <c r="CT11" s="31"/>
    </row>
    <row r="12" spans="1:98" ht="14.1" hidden="1" thickBot="1">
      <c r="A12" s="32" t="s">
        <v>43</v>
      </c>
      <c r="B12" s="32">
        <v>0.9</v>
      </c>
      <c r="C12" s="32"/>
      <c r="D12" s="33" t="s">
        <v>43</v>
      </c>
      <c r="E12" s="195">
        <v>0</v>
      </c>
      <c r="F12" s="185"/>
      <c r="G12" s="185"/>
      <c r="H12" s="186"/>
      <c r="I12" s="195">
        <v>0</v>
      </c>
      <c r="J12" s="185"/>
      <c r="K12" s="185"/>
      <c r="L12" s="185"/>
      <c r="M12" s="186"/>
      <c r="N12" s="162">
        <v>0</v>
      </c>
      <c r="O12" s="185"/>
      <c r="P12" s="185"/>
      <c r="Q12" s="186"/>
      <c r="R12" s="34"/>
      <c r="S12" s="196">
        <v>171000</v>
      </c>
      <c r="T12" s="189"/>
      <c r="U12" s="189"/>
      <c r="V12" s="189"/>
      <c r="W12" s="190"/>
      <c r="X12" s="168">
        <v>216000</v>
      </c>
      <c r="Y12" s="189"/>
      <c r="Z12" s="189"/>
      <c r="AA12" s="190"/>
      <c r="AB12" s="168">
        <v>342000</v>
      </c>
      <c r="AC12" s="189"/>
      <c r="AD12" s="189"/>
      <c r="AE12" s="190"/>
      <c r="AF12" s="168">
        <v>256500</v>
      </c>
      <c r="AG12" s="189"/>
      <c r="AH12" s="189"/>
      <c r="AI12" s="190"/>
      <c r="AJ12" s="196">
        <v>0</v>
      </c>
      <c r="AK12" s="189"/>
      <c r="AL12" s="189"/>
      <c r="AM12" s="189"/>
      <c r="AN12" s="190"/>
      <c r="AO12" s="35">
        <v>0</v>
      </c>
      <c r="AP12" s="162">
        <v>135000</v>
      </c>
      <c r="AQ12" s="185"/>
      <c r="AR12" s="185"/>
      <c r="AS12" s="186"/>
      <c r="AT12" s="162">
        <v>40500</v>
      </c>
      <c r="AU12" s="185"/>
      <c r="AV12" s="185"/>
      <c r="AW12" s="185"/>
      <c r="AX12" s="186"/>
      <c r="AY12" s="35"/>
      <c r="AZ12" s="197" t="e">
        <v>#REF!</v>
      </c>
      <c r="BA12" s="185"/>
      <c r="BB12" s="186"/>
      <c r="BC12" s="162">
        <v>0</v>
      </c>
      <c r="BD12" s="185"/>
      <c r="BE12" s="185"/>
      <c r="BF12" s="186"/>
      <c r="BG12" s="12"/>
      <c r="BH12" s="28" t="e">
        <f t="shared" ref="BH12:BH18" si="1">BC12+AZ12+AY12+AT12+AP12+AO12+AJ12+AF12+AB12+X12+S12+N12+I12+E12</f>
        <v>#REF!</v>
      </c>
      <c r="BI12" s="29" t="e">
        <f t="shared" si="0"/>
        <v>#REF!</v>
      </c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L12" s="36">
        <v>1421003.4840000002</v>
      </c>
      <c r="CM12" s="29">
        <v>0.37070397056967785</v>
      </c>
      <c r="CN12" s="36" t="e">
        <v>#REF!</v>
      </c>
      <c r="CO12" s="37" t="e">
        <v>#REF!</v>
      </c>
      <c r="CP12" s="38"/>
      <c r="CQ12" s="36">
        <v>1299000</v>
      </c>
      <c r="CR12" s="38"/>
      <c r="CS12" s="38"/>
      <c r="CT12" s="38"/>
    </row>
    <row r="13" spans="1:98" ht="14.1" hidden="1" thickBot="1">
      <c r="A13" s="32" t="s">
        <v>44</v>
      </c>
      <c r="B13" s="32">
        <v>0.1</v>
      </c>
      <c r="C13" s="32"/>
      <c r="D13" s="33" t="s">
        <v>44</v>
      </c>
      <c r="E13" s="195">
        <v>0</v>
      </c>
      <c r="F13" s="185"/>
      <c r="G13" s="185"/>
      <c r="H13" s="186"/>
      <c r="I13" s="195">
        <v>0</v>
      </c>
      <c r="J13" s="185"/>
      <c r="K13" s="185"/>
      <c r="L13" s="185"/>
      <c r="M13" s="186"/>
      <c r="N13" s="168">
        <v>0</v>
      </c>
      <c r="O13" s="189"/>
      <c r="P13" s="189"/>
      <c r="Q13" s="190"/>
      <c r="R13" s="34"/>
      <c r="S13" s="195">
        <v>19000</v>
      </c>
      <c r="T13" s="185"/>
      <c r="U13" s="185"/>
      <c r="V13" s="185"/>
      <c r="W13" s="186"/>
      <c r="X13" s="168">
        <v>24000</v>
      </c>
      <c r="Y13" s="189"/>
      <c r="Z13" s="189"/>
      <c r="AA13" s="190"/>
      <c r="AB13" s="168">
        <v>38000</v>
      </c>
      <c r="AC13" s="189"/>
      <c r="AD13" s="189"/>
      <c r="AE13" s="190"/>
      <c r="AF13" s="168">
        <v>28500</v>
      </c>
      <c r="AG13" s="189"/>
      <c r="AH13" s="189"/>
      <c r="AI13" s="190"/>
      <c r="AJ13" s="195">
        <v>0</v>
      </c>
      <c r="AK13" s="185"/>
      <c r="AL13" s="185"/>
      <c r="AM13" s="185"/>
      <c r="AN13" s="186"/>
      <c r="AO13" s="39">
        <v>0</v>
      </c>
      <c r="AP13" s="168">
        <v>15000</v>
      </c>
      <c r="AQ13" s="189"/>
      <c r="AR13" s="189"/>
      <c r="AS13" s="190"/>
      <c r="AT13" s="168">
        <v>4500</v>
      </c>
      <c r="AU13" s="189"/>
      <c r="AV13" s="189"/>
      <c r="AW13" s="189"/>
      <c r="AX13" s="190"/>
      <c r="AY13" s="39"/>
      <c r="AZ13" s="197" t="e">
        <v>#REF!</v>
      </c>
      <c r="BA13" s="185"/>
      <c r="BB13" s="186"/>
      <c r="BC13" s="168">
        <v>0</v>
      </c>
      <c r="BD13" s="189"/>
      <c r="BE13" s="189"/>
      <c r="BF13" s="190"/>
      <c r="BG13" s="12"/>
      <c r="BH13" s="28" t="e">
        <f t="shared" si="1"/>
        <v>#REF!</v>
      </c>
      <c r="BI13" s="29" t="e">
        <f t="shared" si="0"/>
        <v>#REF!</v>
      </c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L13" s="36">
        <v>157889.27600000001</v>
      </c>
      <c r="CM13" s="29">
        <v>4.1189330063297537E-2</v>
      </c>
      <c r="CN13" s="36" t="e">
        <v>#REF!</v>
      </c>
      <c r="CO13" s="37" t="e">
        <v>#REF!</v>
      </c>
      <c r="CP13" s="38"/>
      <c r="CQ13" s="36">
        <v>136000</v>
      </c>
      <c r="CR13" s="38"/>
      <c r="CS13" s="38"/>
      <c r="CT13" s="38"/>
    </row>
    <row r="14" spans="1:98" ht="15" thickBot="1">
      <c r="A14" s="25"/>
      <c r="B14" s="25"/>
      <c r="C14" s="25"/>
      <c r="D14" s="26" t="s">
        <v>45</v>
      </c>
      <c r="E14" s="192">
        <v>0</v>
      </c>
      <c r="F14" s="198"/>
      <c r="G14" s="198"/>
      <c r="H14" s="199"/>
      <c r="I14" s="192">
        <v>0</v>
      </c>
      <c r="J14" s="185"/>
      <c r="K14" s="185"/>
      <c r="L14" s="185"/>
      <c r="M14" s="186"/>
      <c r="N14" s="192">
        <v>0</v>
      </c>
      <c r="O14" s="185"/>
      <c r="P14" s="185"/>
      <c r="Q14" s="185"/>
      <c r="R14" s="186"/>
      <c r="S14" s="192">
        <v>0</v>
      </c>
      <c r="T14" s="185"/>
      <c r="U14" s="185"/>
      <c r="V14" s="185"/>
      <c r="W14" s="186"/>
      <c r="X14" s="192">
        <f>72736.24*X10</f>
        <v>66838.707027027034</v>
      </c>
      <c r="Y14" s="198"/>
      <c r="Z14" s="198"/>
      <c r="AA14" s="199"/>
      <c r="AB14" s="192">
        <f>AB10*166529</f>
        <v>153026.64864864864</v>
      </c>
      <c r="AC14" s="185"/>
      <c r="AD14" s="185"/>
      <c r="AE14" s="186"/>
      <c r="AF14" s="192">
        <f>AF10*141406</f>
        <v>129940.64864864864</v>
      </c>
      <c r="AG14" s="185"/>
      <c r="AH14" s="185"/>
      <c r="AI14" s="186"/>
      <c r="AJ14" s="192">
        <f>AJ10*169500</f>
        <v>155756.75675675675</v>
      </c>
      <c r="AK14" s="185"/>
      <c r="AL14" s="185"/>
      <c r="AM14" s="185"/>
      <c r="AN14" s="186"/>
      <c r="AO14" s="194">
        <f>AO10*102000</f>
        <v>93729.729729729734</v>
      </c>
      <c r="AP14" s="192">
        <f>AP10*60800</f>
        <v>55870.270270270274</v>
      </c>
      <c r="AQ14" s="185"/>
      <c r="AR14" s="185"/>
      <c r="AS14" s="186"/>
      <c r="AT14" s="192">
        <f>AT10*68900</f>
        <v>63313.513513513521</v>
      </c>
      <c r="AU14" s="185"/>
      <c r="AV14" s="185"/>
      <c r="AW14" s="185"/>
      <c r="AX14" s="186"/>
      <c r="AY14" s="194">
        <v>0</v>
      </c>
      <c r="AZ14" s="192">
        <f>(AZ10*31600)+(AY10*90350)</f>
        <v>112062.16216216217</v>
      </c>
      <c r="BA14" s="185"/>
      <c r="BB14" s="186"/>
      <c r="BC14" s="192">
        <v>0</v>
      </c>
      <c r="BD14" s="185"/>
      <c r="BE14" s="185"/>
      <c r="BF14" s="186"/>
      <c r="BG14" s="27"/>
      <c r="BH14" s="28">
        <f>BC14+AZ14+AY14+AT14+AP14+AO14+AJ14+AF14+AB14+X14+S14+N14+I14+E14</f>
        <v>830538.43675675674</v>
      </c>
      <c r="BI14" s="29">
        <f t="shared" si="0"/>
        <v>0.23184673646187434</v>
      </c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L14" s="28">
        <v>833924.10000000009</v>
      </c>
      <c r="CM14" s="29">
        <v>0.21754976571454002</v>
      </c>
      <c r="CN14" s="28">
        <v>52075.899999999907</v>
      </c>
      <c r="CO14" s="30">
        <v>6.2446810207307718E-2</v>
      </c>
      <c r="CP14" s="31"/>
      <c r="CQ14" s="28">
        <v>685000</v>
      </c>
      <c r="CR14" s="31"/>
      <c r="CS14" s="31"/>
      <c r="CT14" s="31"/>
    </row>
    <row r="15" spans="1:98" ht="14.1" hidden="1" thickBot="1">
      <c r="A15" s="32" t="s">
        <v>43</v>
      </c>
      <c r="B15" s="32">
        <v>0.9</v>
      </c>
      <c r="C15" s="32"/>
      <c r="D15" s="33" t="s">
        <v>43</v>
      </c>
      <c r="E15" s="195">
        <v>0</v>
      </c>
      <c r="F15" s="185"/>
      <c r="G15" s="185"/>
      <c r="H15" s="186"/>
      <c r="I15" s="195">
        <v>0</v>
      </c>
      <c r="J15" s="185"/>
      <c r="K15" s="185"/>
      <c r="L15" s="185"/>
      <c r="M15" s="186"/>
      <c r="N15" s="195">
        <v>0</v>
      </c>
      <c r="O15" s="185"/>
      <c r="P15" s="185"/>
      <c r="Q15" s="186"/>
      <c r="R15" s="36"/>
      <c r="S15" s="195">
        <v>0</v>
      </c>
      <c r="T15" s="185"/>
      <c r="U15" s="185"/>
      <c r="V15" s="185"/>
      <c r="W15" s="186"/>
      <c r="X15" s="195">
        <v>0</v>
      </c>
      <c r="Y15" s="185"/>
      <c r="Z15" s="185"/>
      <c r="AA15" s="186"/>
      <c r="AB15" s="195">
        <v>148500</v>
      </c>
      <c r="AC15" s="185"/>
      <c r="AD15" s="185"/>
      <c r="AE15" s="186"/>
      <c r="AF15" s="195">
        <v>130500</v>
      </c>
      <c r="AG15" s="185"/>
      <c r="AH15" s="185"/>
      <c r="AI15" s="186"/>
      <c r="AJ15" s="195">
        <v>171000</v>
      </c>
      <c r="AK15" s="185"/>
      <c r="AL15" s="185"/>
      <c r="AM15" s="185"/>
      <c r="AN15" s="186"/>
      <c r="AO15" s="36"/>
      <c r="AP15" s="195">
        <v>67500</v>
      </c>
      <c r="AQ15" s="185"/>
      <c r="AR15" s="185"/>
      <c r="AS15" s="186"/>
      <c r="AT15" s="195">
        <v>67500</v>
      </c>
      <c r="AU15" s="185"/>
      <c r="AV15" s="185"/>
      <c r="AW15" s="185"/>
      <c r="AX15" s="186"/>
      <c r="AY15" s="36"/>
      <c r="AZ15" s="195">
        <v>126900</v>
      </c>
      <c r="BA15" s="185"/>
      <c r="BB15" s="186"/>
      <c r="BC15" s="195">
        <v>0</v>
      </c>
      <c r="BD15" s="185"/>
      <c r="BE15" s="185"/>
      <c r="BF15" s="186"/>
      <c r="BG15" s="12"/>
      <c r="BH15" s="28">
        <f t="shared" si="1"/>
        <v>711900</v>
      </c>
      <c r="BI15" s="29">
        <f t="shared" si="0"/>
        <v>0.19872854088696165</v>
      </c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L15" s="36">
        <v>614144.277</v>
      </c>
      <c r="CM15" s="29">
        <v>0.16021475284894099</v>
      </c>
      <c r="CN15" s="36">
        <v>97755.722999999998</v>
      </c>
      <c r="CO15" s="37">
        <v>0.15917387275433326</v>
      </c>
      <c r="CP15" s="38"/>
      <c r="CQ15" s="36">
        <v>602800</v>
      </c>
      <c r="CR15" s="38"/>
      <c r="CS15" s="38"/>
      <c r="CT15" s="38"/>
    </row>
    <row r="16" spans="1:98" ht="14.1" hidden="1" thickBot="1">
      <c r="A16" s="32" t="s">
        <v>44</v>
      </c>
      <c r="B16" s="32">
        <v>0.1</v>
      </c>
      <c r="C16" s="32"/>
      <c r="D16" s="33" t="s">
        <v>44</v>
      </c>
      <c r="E16" s="195">
        <v>0</v>
      </c>
      <c r="F16" s="185"/>
      <c r="G16" s="185"/>
      <c r="H16" s="186"/>
      <c r="I16" s="195">
        <v>0</v>
      </c>
      <c r="J16" s="185"/>
      <c r="K16" s="185"/>
      <c r="L16" s="185"/>
      <c r="M16" s="186"/>
      <c r="N16" s="195">
        <v>0</v>
      </c>
      <c r="O16" s="185"/>
      <c r="P16" s="185"/>
      <c r="Q16" s="186"/>
      <c r="R16" s="36"/>
      <c r="S16" s="195">
        <v>0</v>
      </c>
      <c r="T16" s="185"/>
      <c r="U16" s="185"/>
      <c r="V16" s="185"/>
      <c r="W16" s="186"/>
      <c r="X16" s="195">
        <v>0</v>
      </c>
      <c r="Y16" s="185"/>
      <c r="Z16" s="185"/>
      <c r="AA16" s="186"/>
      <c r="AB16" s="195">
        <v>16500</v>
      </c>
      <c r="AC16" s="185"/>
      <c r="AD16" s="185"/>
      <c r="AE16" s="186"/>
      <c r="AF16" s="195">
        <v>14500</v>
      </c>
      <c r="AG16" s="185"/>
      <c r="AH16" s="185"/>
      <c r="AI16" s="186"/>
      <c r="AJ16" s="195">
        <v>19000</v>
      </c>
      <c r="AK16" s="185"/>
      <c r="AL16" s="185"/>
      <c r="AM16" s="185"/>
      <c r="AN16" s="186"/>
      <c r="AO16" s="36"/>
      <c r="AP16" s="195">
        <v>7500</v>
      </c>
      <c r="AQ16" s="185"/>
      <c r="AR16" s="185"/>
      <c r="AS16" s="186"/>
      <c r="AT16" s="195">
        <v>7500</v>
      </c>
      <c r="AU16" s="185"/>
      <c r="AV16" s="185"/>
      <c r="AW16" s="185"/>
      <c r="AX16" s="186"/>
      <c r="AY16" s="36"/>
      <c r="AZ16" s="195">
        <v>14100</v>
      </c>
      <c r="BA16" s="185"/>
      <c r="BB16" s="186"/>
      <c r="BC16" s="195">
        <v>0</v>
      </c>
      <c r="BD16" s="185"/>
      <c r="BE16" s="185"/>
      <c r="BF16" s="186"/>
      <c r="BG16" s="12"/>
      <c r="BH16" s="28">
        <f t="shared" si="1"/>
        <v>79100</v>
      </c>
      <c r="BI16" s="29">
        <f t="shared" si="0"/>
        <v>2.2080948987440185E-2</v>
      </c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L16" s="36">
        <v>68238.252999999997</v>
      </c>
      <c r="CM16" s="29">
        <v>1.7801639205437886E-2</v>
      </c>
      <c r="CN16" s="36">
        <v>10861.747000000003</v>
      </c>
      <c r="CO16" s="37">
        <v>0.15917387275433331</v>
      </c>
      <c r="CP16" s="38"/>
      <c r="CQ16" s="36">
        <v>82200</v>
      </c>
      <c r="CR16" s="38"/>
      <c r="CS16" s="38"/>
      <c r="CT16" s="38"/>
    </row>
    <row r="17" spans="1:101" ht="15" thickBot="1">
      <c r="A17" s="40"/>
      <c r="B17" s="40"/>
      <c r="C17" s="40"/>
      <c r="D17" s="41" t="s">
        <v>46</v>
      </c>
      <c r="E17" s="192">
        <v>0</v>
      </c>
      <c r="F17" s="185"/>
      <c r="G17" s="185"/>
      <c r="H17" s="186"/>
      <c r="I17" s="192">
        <v>0</v>
      </c>
      <c r="J17" s="185"/>
      <c r="K17" s="185"/>
      <c r="L17" s="185"/>
      <c r="M17" s="186"/>
      <c r="N17" s="192">
        <v>0</v>
      </c>
      <c r="O17" s="185"/>
      <c r="P17" s="185"/>
      <c r="Q17" s="185"/>
      <c r="R17" s="186"/>
      <c r="S17" s="192">
        <v>0</v>
      </c>
      <c r="T17" s="185"/>
      <c r="U17" s="185"/>
      <c r="V17" s="185"/>
      <c r="W17" s="186"/>
      <c r="X17" s="192">
        <v>0</v>
      </c>
      <c r="Y17" s="185"/>
      <c r="Z17" s="185"/>
      <c r="AA17" s="186"/>
      <c r="AB17" s="192">
        <v>0</v>
      </c>
      <c r="AC17" s="185"/>
      <c r="AD17" s="185"/>
      <c r="AE17" s="186"/>
      <c r="AF17" s="192">
        <f>15000*AF10</f>
        <v>13783.783783783783</v>
      </c>
      <c r="AG17" s="185"/>
      <c r="AH17" s="185"/>
      <c r="AI17" s="186"/>
      <c r="AJ17" s="192">
        <v>0</v>
      </c>
      <c r="AK17" s="185"/>
      <c r="AL17" s="185"/>
      <c r="AM17" s="185"/>
      <c r="AN17" s="186"/>
      <c r="AO17" s="194">
        <v>0</v>
      </c>
      <c r="AP17" s="192">
        <v>0</v>
      </c>
      <c r="AQ17" s="185"/>
      <c r="AR17" s="185"/>
      <c r="AS17" s="186"/>
      <c r="AT17" s="192">
        <v>0</v>
      </c>
      <c r="AU17" s="185"/>
      <c r="AV17" s="185"/>
      <c r="AW17" s="185"/>
      <c r="AX17" s="186"/>
      <c r="AY17" s="194">
        <v>0</v>
      </c>
      <c r="AZ17" s="192">
        <v>0</v>
      </c>
      <c r="BA17" s="185"/>
      <c r="BB17" s="186"/>
      <c r="BC17" s="192">
        <v>0</v>
      </c>
      <c r="BD17" s="185"/>
      <c r="BE17" s="185"/>
      <c r="BF17" s="186"/>
      <c r="BG17" s="27"/>
      <c r="BH17" s="28">
        <f t="shared" si="1"/>
        <v>13783.783783783783</v>
      </c>
      <c r="BI17" s="29">
        <f t="shared" si="0"/>
        <v>3.8477753044707328E-3</v>
      </c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L17" s="28">
        <v>113711.23999999999</v>
      </c>
      <c r="CM17" s="29">
        <v>2.9664394662667532E-2</v>
      </c>
      <c r="CN17" s="28">
        <v>-113711.23999999999</v>
      </c>
      <c r="CO17" s="30">
        <v>-1</v>
      </c>
      <c r="CP17" s="31"/>
      <c r="CQ17" s="28">
        <v>90000</v>
      </c>
      <c r="CR17" s="31"/>
      <c r="CS17" s="31"/>
      <c r="CT17" s="31"/>
    </row>
    <row r="18" spans="1:101" ht="15" thickBot="1">
      <c r="A18" s="40"/>
      <c r="B18" s="40"/>
      <c r="C18" s="40"/>
      <c r="D18" s="41" t="s">
        <v>47</v>
      </c>
      <c r="E18" s="192">
        <v>0</v>
      </c>
      <c r="F18" s="185"/>
      <c r="G18" s="185"/>
      <c r="H18" s="186"/>
      <c r="I18" s="192">
        <v>0</v>
      </c>
      <c r="J18" s="185"/>
      <c r="K18" s="185"/>
      <c r="L18" s="185"/>
      <c r="M18" s="186"/>
      <c r="N18" s="192">
        <v>0</v>
      </c>
      <c r="O18" s="185"/>
      <c r="P18" s="185"/>
      <c r="Q18" s="185"/>
      <c r="R18" s="186"/>
      <c r="S18" s="192">
        <v>0</v>
      </c>
      <c r="T18" s="185"/>
      <c r="U18" s="185"/>
      <c r="V18" s="185"/>
      <c r="W18" s="186"/>
      <c r="X18" s="192">
        <v>0</v>
      </c>
      <c r="Y18" s="185"/>
      <c r="Z18" s="185"/>
      <c r="AA18" s="186"/>
      <c r="AB18" s="192">
        <v>0</v>
      </c>
      <c r="AC18" s="185"/>
      <c r="AD18" s="185"/>
      <c r="AE18" s="186"/>
      <c r="AF18" s="192">
        <v>0</v>
      </c>
      <c r="AG18" s="185"/>
      <c r="AH18" s="185"/>
      <c r="AI18" s="186"/>
      <c r="AJ18" s="192">
        <v>0</v>
      </c>
      <c r="AK18" s="185"/>
      <c r="AL18" s="185"/>
      <c r="AM18" s="185"/>
      <c r="AN18" s="186"/>
      <c r="AO18" s="194">
        <v>0</v>
      </c>
      <c r="AP18" s="192">
        <v>0</v>
      </c>
      <c r="AQ18" s="185"/>
      <c r="AR18" s="185"/>
      <c r="AS18" s="186"/>
      <c r="AT18" s="192">
        <v>0</v>
      </c>
      <c r="AU18" s="185"/>
      <c r="AV18" s="185"/>
      <c r="AW18" s="185"/>
      <c r="AX18" s="186"/>
      <c r="AY18" s="194">
        <v>0</v>
      </c>
      <c r="AZ18" s="192">
        <v>0</v>
      </c>
      <c r="BA18" s="185"/>
      <c r="BB18" s="186"/>
      <c r="BC18" s="192">
        <v>0</v>
      </c>
      <c r="BD18" s="185"/>
      <c r="BE18" s="185"/>
      <c r="BF18" s="186"/>
      <c r="BG18" s="27"/>
      <c r="BH18" s="28">
        <f t="shared" si="1"/>
        <v>0</v>
      </c>
      <c r="BI18" s="29">
        <f t="shared" si="0"/>
        <v>0</v>
      </c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L18" s="28">
        <v>0</v>
      </c>
      <c r="CM18" s="29">
        <v>0</v>
      </c>
      <c r="CN18" s="28">
        <v>0</v>
      </c>
      <c r="CO18" s="30" t="e">
        <v>#DIV/0!</v>
      </c>
      <c r="CP18" s="31"/>
      <c r="CQ18" s="28">
        <v>330000</v>
      </c>
      <c r="CR18" s="31"/>
      <c r="CS18" s="31"/>
      <c r="CT18" s="31"/>
    </row>
    <row r="19" spans="1:101" ht="32.25" customHeight="1" thickBot="1">
      <c r="A19" s="42"/>
      <c r="B19" s="42"/>
      <c r="C19" s="42"/>
      <c r="D19" s="43" t="s">
        <v>48</v>
      </c>
      <c r="E19" s="200">
        <f>E11+E14+E17+E18</f>
        <v>0</v>
      </c>
      <c r="F19" s="185"/>
      <c r="G19" s="185"/>
      <c r="H19" s="186"/>
      <c r="I19" s="201">
        <f>I11+I14+I18+I17</f>
        <v>0</v>
      </c>
      <c r="J19" s="185"/>
      <c r="K19" s="185"/>
      <c r="L19" s="185"/>
      <c r="M19" s="186"/>
      <c r="N19" s="201">
        <f>N11+N14+N18+N17</f>
        <v>0</v>
      </c>
      <c r="O19" s="185"/>
      <c r="P19" s="185"/>
      <c r="Q19" s="185"/>
      <c r="R19" s="186"/>
      <c r="S19" s="201">
        <f>S11+S14+S17+S18</f>
        <v>174594.59459459459</v>
      </c>
      <c r="T19" s="185"/>
      <c r="U19" s="185"/>
      <c r="V19" s="185"/>
      <c r="W19" s="186"/>
      <c r="X19" s="201">
        <f>X11+X14+X17+X18</f>
        <v>287379.24756756763</v>
      </c>
      <c r="Y19" s="185"/>
      <c r="Z19" s="185"/>
      <c r="AA19" s="186"/>
      <c r="AB19" s="201">
        <f>AB11+AB14+AB17+AB18</f>
        <v>502215.83783783781</v>
      </c>
      <c r="AC19" s="185"/>
      <c r="AD19" s="185"/>
      <c r="AE19" s="186"/>
      <c r="AF19" s="201">
        <f>AF11+AF14+AF17+AF18</f>
        <v>405616.32432432426</v>
      </c>
      <c r="AG19" s="185"/>
      <c r="AH19" s="185"/>
      <c r="AI19" s="186"/>
      <c r="AJ19" s="201">
        <f>AJ11+AJ14+AJ17+AJ18</f>
        <v>155756.75675675675</v>
      </c>
      <c r="AK19" s="185"/>
      <c r="AL19" s="185"/>
      <c r="AM19" s="185"/>
      <c r="AN19" s="186"/>
      <c r="AO19" s="44">
        <f>AO11+AO14+AO17+AO18</f>
        <v>93729.729729729734</v>
      </c>
      <c r="AP19" s="201">
        <f>AP11+AP14+AP17+AP18</f>
        <v>193708.10810810811</v>
      </c>
      <c r="AQ19" s="185"/>
      <c r="AR19" s="185"/>
      <c r="AS19" s="186"/>
      <c r="AT19" s="201">
        <f>AT11+AT14+AT17+AT18</f>
        <v>104664.86486486488</v>
      </c>
      <c r="AU19" s="185"/>
      <c r="AV19" s="185"/>
      <c r="AW19" s="185"/>
      <c r="AX19" s="186"/>
      <c r="AY19" s="44">
        <f>AY11+AY14+AY17+AY18</f>
        <v>0</v>
      </c>
      <c r="AZ19" s="201">
        <f>AZ11+AZ14+AZ17+AZ18</f>
        <v>286656.7567567568</v>
      </c>
      <c r="BA19" s="185"/>
      <c r="BB19" s="186"/>
      <c r="BC19" s="201">
        <f>BC11+BC14+BC17+BC18</f>
        <v>0</v>
      </c>
      <c r="BD19" s="185"/>
      <c r="BE19" s="185"/>
      <c r="BF19" s="186"/>
      <c r="BG19" s="27"/>
      <c r="BH19" s="28">
        <f>BH11+BH14+BH17+BH18</f>
        <v>2204322.2205405403</v>
      </c>
      <c r="BI19" s="29">
        <f t="shared" si="0"/>
        <v>0.61534167514079063</v>
      </c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L19" s="28">
        <v>2526528.0999999996</v>
      </c>
      <c r="CM19" s="29">
        <v>0.6591074610101828</v>
      </c>
      <c r="CN19" s="28">
        <v>-160528.09999999963</v>
      </c>
      <c r="CO19" s="30">
        <v>-6.3537033290862535E-2</v>
      </c>
      <c r="CP19" s="31"/>
      <c r="CQ19" s="28">
        <v>2510000</v>
      </c>
      <c r="CR19" s="31"/>
      <c r="CS19" s="31"/>
      <c r="CT19" s="31"/>
      <c r="CW19" s="79" t="e">
        <f>#REF!*CU19</f>
        <v>#REF!</v>
      </c>
    </row>
    <row r="20" spans="1:101" ht="35.25" customHeight="1" thickBot="1">
      <c r="A20" s="45"/>
      <c r="B20" s="45"/>
      <c r="C20" s="45"/>
      <c r="D20" s="4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77"/>
      <c r="AP20" s="167"/>
      <c r="AQ20" s="167"/>
      <c r="AR20" s="167"/>
      <c r="AS20" s="167"/>
      <c r="AT20" s="167"/>
      <c r="AU20" s="167"/>
      <c r="AV20" s="167"/>
      <c r="AW20" s="167"/>
      <c r="AX20" s="167"/>
      <c r="AY20" s="77"/>
      <c r="AZ20" s="167"/>
      <c r="BA20" s="167"/>
      <c r="BB20" s="167"/>
      <c r="BC20" s="167"/>
      <c r="BD20" s="167"/>
      <c r="BE20" s="167"/>
      <c r="BF20" s="16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</row>
    <row r="21" spans="1:101" ht="18">
      <c r="A21" s="46"/>
      <c r="B21" s="46"/>
      <c r="C21" s="46"/>
      <c r="D21" s="184" t="s">
        <v>49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</row>
    <row r="22" spans="1:101" ht="18.95" thickBot="1">
      <c r="A22" s="46"/>
      <c r="B22" s="46"/>
      <c r="C22" s="46"/>
      <c r="D22" s="191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</row>
    <row r="23" spans="1:101" ht="15" thickBot="1">
      <c r="A23" s="47"/>
      <c r="B23" s="47"/>
      <c r="C23" s="47"/>
      <c r="D23" s="26" t="s">
        <v>50</v>
      </c>
      <c r="E23" s="192">
        <f>E10*8700</f>
        <v>7994.5945945945941</v>
      </c>
      <c r="F23" s="185"/>
      <c r="G23" s="185"/>
      <c r="H23" s="186"/>
      <c r="I23" s="192">
        <v>0</v>
      </c>
      <c r="J23" s="185"/>
      <c r="K23" s="185"/>
      <c r="L23" s="185"/>
      <c r="M23" s="186"/>
      <c r="N23" s="192">
        <f>16000*N10</f>
        <v>14702.702702702702</v>
      </c>
      <c r="O23" s="185"/>
      <c r="P23" s="185"/>
      <c r="Q23" s="185"/>
      <c r="R23" s="186"/>
      <c r="S23" s="192">
        <v>0</v>
      </c>
      <c r="T23" s="185"/>
      <c r="U23" s="185"/>
      <c r="V23" s="185"/>
      <c r="W23" s="186"/>
      <c r="X23" s="192">
        <v>0</v>
      </c>
      <c r="Y23" s="185"/>
      <c r="Z23" s="185"/>
      <c r="AA23" s="186"/>
      <c r="AB23" s="192">
        <f>43500*AB10</f>
        <v>39972.972972972973</v>
      </c>
      <c r="AC23" s="185"/>
      <c r="AD23" s="185"/>
      <c r="AE23" s="186"/>
      <c r="AF23" s="192">
        <f>43500*AJ10</f>
        <v>39972.972972972973</v>
      </c>
      <c r="AG23" s="185"/>
      <c r="AH23" s="185"/>
      <c r="AI23" s="186"/>
      <c r="AJ23" s="192">
        <v>0</v>
      </c>
      <c r="AK23" s="185"/>
      <c r="AL23" s="185"/>
      <c r="AM23" s="185"/>
      <c r="AN23" s="186"/>
      <c r="AO23" s="194">
        <v>0</v>
      </c>
      <c r="AP23" s="192">
        <f>AP10*43500</f>
        <v>39972.972972972973</v>
      </c>
      <c r="AQ23" s="185"/>
      <c r="AR23" s="185"/>
      <c r="AS23" s="186"/>
      <c r="AT23" s="192">
        <v>0</v>
      </c>
      <c r="AU23" s="185"/>
      <c r="AV23" s="185"/>
      <c r="AW23" s="185"/>
      <c r="AX23" s="186"/>
      <c r="AY23" s="194">
        <v>0</v>
      </c>
      <c r="AZ23" s="192">
        <v>0</v>
      </c>
      <c r="BA23" s="185"/>
      <c r="BB23" s="186"/>
      <c r="BC23" s="192">
        <v>0</v>
      </c>
      <c r="BD23" s="185"/>
      <c r="BE23" s="185"/>
      <c r="BF23" s="186"/>
      <c r="BG23" s="27"/>
      <c r="BH23" s="28">
        <f>BC23+AZ23+AY23+AT23+AP23+AO23+AJ23+AF23+AB23+X23+S23+N23+I23+E23</f>
        <v>142616.21621621621</v>
      </c>
      <c r="BI23" s="29">
        <f>BH23/$BH$38</f>
        <v>3.9811648483590513E-2</v>
      </c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L23" s="28">
        <v>146124.1</v>
      </c>
      <c r="CM23" s="29">
        <v>3.8120092368415799E-2</v>
      </c>
      <c r="CN23" s="28">
        <v>9075.8999999999942</v>
      </c>
      <c r="CO23" s="30">
        <v>6.2110904361429728E-2</v>
      </c>
      <c r="CP23" s="31"/>
      <c r="CQ23" s="28">
        <v>135000</v>
      </c>
      <c r="CR23" s="31"/>
      <c r="CS23" s="31"/>
      <c r="CT23" s="31"/>
    </row>
    <row r="24" spans="1:101" ht="15" thickBot="1">
      <c r="A24" s="49"/>
      <c r="B24" s="49"/>
      <c r="C24" s="49"/>
      <c r="D24" s="26" t="s">
        <v>51</v>
      </c>
      <c r="E24" s="192">
        <v>0</v>
      </c>
      <c r="F24" s="185"/>
      <c r="G24" s="185"/>
      <c r="H24" s="186"/>
      <c r="I24" s="192">
        <v>0</v>
      </c>
      <c r="J24" s="185"/>
      <c r="K24" s="185"/>
      <c r="L24" s="185"/>
      <c r="M24" s="186"/>
      <c r="N24" s="192">
        <v>0</v>
      </c>
      <c r="O24" s="185"/>
      <c r="P24" s="185"/>
      <c r="Q24" s="185"/>
      <c r="R24" s="186"/>
      <c r="S24" s="192">
        <v>0</v>
      </c>
      <c r="T24" s="185"/>
      <c r="U24" s="185"/>
      <c r="V24" s="185"/>
      <c r="W24" s="186"/>
      <c r="X24" s="192">
        <v>0</v>
      </c>
      <c r="Y24" s="185"/>
      <c r="Z24" s="185"/>
      <c r="AA24" s="186"/>
      <c r="AB24" s="192">
        <v>0</v>
      </c>
      <c r="AC24" s="185"/>
      <c r="AD24" s="185"/>
      <c r="AE24" s="186"/>
      <c r="AF24" s="192">
        <v>0</v>
      </c>
      <c r="AG24" s="185"/>
      <c r="AH24" s="185"/>
      <c r="AI24" s="186"/>
      <c r="AJ24" s="192">
        <v>0</v>
      </c>
      <c r="AK24" s="185"/>
      <c r="AL24" s="185"/>
      <c r="AM24" s="185"/>
      <c r="AN24" s="186"/>
      <c r="AO24" s="194">
        <v>0</v>
      </c>
      <c r="AP24" s="192">
        <v>0</v>
      </c>
      <c r="AQ24" s="185"/>
      <c r="AR24" s="185"/>
      <c r="AS24" s="186"/>
      <c r="AT24" s="192">
        <v>0</v>
      </c>
      <c r="AU24" s="185"/>
      <c r="AV24" s="185"/>
      <c r="AW24" s="185"/>
      <c r="AX24" s="186"/>
      <c r="AY24" s="194">
        <v>0</v>
      </c>
      <c r="AZ24" s="192">
        <v>0</v>
      </c>
      <c r="BA24" s="185"/>
      <c r="BB24" s="186"/>
      <c r="BC24" s="192">
        <v>0</v>
      </c>
      <c r="BD24" s="185"/>
      <c r="BE24" s="185"/>
      <c r="BF24" s="186"/>
      <c r="BG24" s="27"/>
      <c r="BH24" s="28">
        <f>BC24+AZ24+AY24+AT24+AP24+AO24+AJ24+AF24+AB24+X24+S24+N24+I24+E24</f>
        <v>0</v>
      </c>
      <c r="BI24" s="29">
        <f>BH24/$BH$38</f>
        <v>0</v>
      </c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L24" s="28">
        <v>34708</v>
      </c>
      <c r="CM24" s="29">
        <v>9.0544418471899951E-3</v>
      </c>
      <c r="CN24" s="28">
        <v>-34708</v>
      </c>
      <c r="CO24" s="30"/>
      <c r="CP24" s="31"/>
      <c r="CQ24" s="28">
        <v>80000</v>
      </c>
      <c r="CR24" s="31"/>
      <c r="CS24" s="31"/>
      <c r="CT24" s="31"/>
    </row>
    <row r="25" spans="1:101" ht="15" thickBot="1">
      <c r="A25" s="25" t="s">
        <v>41</v>
      </c>
      <c r="B25" s="47"/>
      <c r="C25" s="47"/>
      <c r="D25" s="26" t="s">
        <v>52</v>
      </c>
      <c r="E25" s="192">
        <f>35000*E10</f>
        <v>32162.16216216216</v>
      </c>
      <c r="F25" s="185"/>
      <c r="G25" s="185"/>
      <c r="H25" s="186"/>
      <c r="I25" s="202">
        <f>25000*I10</f>
        <v>22972.97297297297</v>
      </c>
      <c r="J25" s="185"/>
      <c r="K25" s="185"/>
      <c r="L25" s="185"/>
      <c r="M25" s="186"/>
      <c r="N25" s="192">
        <f>40000*N10</f>
        <v>36756.756756756753</v>
      </c>
      <c r="O25" s="185"/>
      <c r="P25" s="185"/>
      <c r="Q25" s="185"/>
      <c r="R25" s="186"/>
      <c r="S25" s="192">
        <f>50000*S10</f>
        <v>45945.945945945939</v>
      </c>
      <c r="T25" s="185"/>
      <c r="U25" s="185"/>
      <c r="V25" s="185"/>
      <c r="W25" s="186"/>
      <c r="X25" s="192">
        <f>X10*50000</f>
        <v>45945.945945945947</v>
      </c>
      <c r="Y25" s="185"/>
      <c r="Z25" s="185"/>
      <c r="AA25" s="186"/>
      <c r="AB25" s="192">
        <f>65000*AB10</f>
        <v>59729.729729729726</v>
      </c>
      <c r="AC25" s="185"/>
      <c r="AD25" s="185"/>
      <c r="AE25" s="186"/>
      <c r="AF25" s="192">
        <f>65000*AF10</f>
        <v>59729.729729729726</v>
      </c>
      <c r="AG25" s="185"/>
      <c r="AH25" s="185"/>
      <c r="AI25" s="186"/>
      <c r="AJ25" s="192">
        <f>50000*AJ10</f>
        <v>45945.945945945939</v>
      </c>
      <c r="AK25" s="185"/>
      <c r="AL25" s="185"/>
      <c r="AM25" s="185"/>
      <c r="AN25" s="186"/>
      <c r="AO25" s="194">
        <f>7000*AO10</f>
        <v>6432.4324324324325</v>
      </c>
      <c r="AP25" s="192">
        <f>50000*AP10</f>
        <v>45945.945945945947</v>
      </c>
      <c r="AQ25" s="185"/>
      <c r="AR25" s="185"/>
      <c r="AS25" s="186"/>
      <c r="AT25" s="192">
        <f>40000*AT10</f>
        <v>36756.75675675676</v>
      </c>
      <c r="AU25" s="185"/>
      <c r="AV25" s="185"/>
      <c r="AW25" s="185"/>
      <c r="AX25" s="186"/>
      <c r="AY25" s="194">
        <f>2000*AY10</f>
        <v>1837.8378378378379</v>
      </c>
      <c r="AZ25" s="192">
        <f>30000*AZ10</f>
        <v>27567.56756756757</v>
      </c>
      <c r="BA25" s="185"/>
      <c r="BB25" s="186"/>
      <c r="BC25" s="192">
        <f>40000*BC10</f>
        <v>36756.75675675676</v>
      </c>
      <c r="BD25" s="185"/>
      <c r="BE25" s="185"/>
      <c r="BF25" s="186"/>
      <c r="BG25" s="27"/>
      <c r="BH25" s="28">
        <f>BC25+AZ25+AY25+AT25+AP25+AO25+AJ25+AF25+AB25+X25+S25+N25+I25+E25</f>
        <v>504486.48648648639</v>
      </c>
      <c r="BI25" s="29">
        <f>BH25/$BH$38</f>
        <v>0.14082857614362879</v>
      </c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L25" s="28">
        <v>538939.75</v>
      </c>
      <c r="CM25" s="29">
        <v>0.14059578844975551</v>
      </c>
      <c r="CN25" s="28">
        <v>10060.25</v>
      </c>
      <c r="CO25" s="30">
        <v>1.8666743360459124E-2</v>
      </c>
      <c r="CP25" s="31"/>
      <c r="CQ25" s="28">
        <v>475000</v>
      </c>
      <c r="CR25" s="31"/>
      <c r="CS25" s="31"/>
      <c r="CT25" s="31"/>
    </row>
    <row r="26" spans="1:101" ht="14.1" thickBot="1">
      <c r="A26" s="32" t="s">
        <v>53</v>
      </c>
      <c r="B26" s="32">
        <v>0.5</v>
      </c>
      <c r="C26" s="50"/>
      <c r="D26" s="51" t="s">
        <v>54</v>
      </c>
      <c r="E26" s="162">
        <f>0.65*E25</f>
        <v>20905.405405405403</v>
      </c>
      <c r="F26" s="163"/>
      <c r="G26" s="163"/>
      <c r="H26" s="164"/>
      <c r="I26" s="162">
        <f>0.65*I25</f>
        <v>14932.432432432432</v>
      </c>
      <c r="J26" s="163"/>
      <c r="K26" s="163"/>
      <c r="L26" s="163"/>
      <c r="M26" s="164"/>
      <c r="N26" s="162">
        <f>0.65*N25</f>
        <v>23891.89189189189</v>
      </c>
      <c r="O26" s="163"/>
      <c r="P26" s="163"/>
      <c r="Q26" s="163"/>
      <c r="R26" s="164"/>
      <c r="S26" s="162">
        <f>0.5*S25</f>
        <v>22972.97297297297</v>
      </c>
      <c r="T26" s="163"/>
      <c r="U26" s="163"/>
      <c r="V26" s="163"/>
      <c r="W26" s="164"/>
      <c r="X26" s="162">
        <f>0.5*X25</f>
        <v>22972.972972972973</v>
      </c>
      <c r="Y26" s="163"/>
      <c r="Z26" s="163"/>
      <c r="AA26" s="164"/>
      <c r="AB26" s="162">
        <f>0.5*AB25</f>
        <v>29864.864864864863</v>
      </c>
      <c r="AC26" s="163"/>
      <c r="AD26" s="163"/>
      <c r="AE26" s="164"/>
      <c r="AF26" s="162">
        <f>0.5*AF25</f>
        <v>29864.864864864863</v>
      </c>
      <c r="AG26" s="163"/>
      <c r="AH26" s="163"/>
      <c r="AI26" s="164"/>
      <c r="AJ26" s="162">
        <f>0.65*AJ25</f>
        <v>29864.864864864863</v>
      </c>
      <c r="AK26" s="163"/>
      <c r="AL26" s="163"/>
      <c r="AM26" s="163"/>
      <c r="AN26" s="164"/>
      <c r="AO26" s="35">
        <f>0.5*AO25</f>
        <v>3216.2162162162163</v>
      </c>
      <c r="AP26" s="162">
        <f>0.5*AP25</f>
        <v>22972.972972972973</v>
      </c>
      <c r="AQ26" s="163"/>
      <c r="AR26" s="163"/>
      <c r="AS26" s="164"/>
      <c r="AT26" s="162">
        <f>0.5*AT25</f>
        <v>18378.37837837838</v>
      </c>
      <c r="AU26" s="163"/>
      <c r="AV26" s="163"/>
      <c r="AW26" s="163"/>
      <c r="AX26" s="164"/>
      <c r="AY26" s="35">
        <f>0.65*AY25</f>
        <v>1194.5945945945946</v>
      </c>
      <c r="AZ26" s="162">
        <f>0.5*AZ25</f>
        <v>13783.783783783785</v>
      </c>
      <c r="BA26" s="163"/>
      <c r="BB26" s="164"/>
      <c r="BC26" s="162">
        <f>0.65*BC25</f>
        <v>23891.891891891893</v>
      </c>
      <c r="BD26" s="163"/>
      <c r="BE26" s="163"/>
      <c r="BF26" s="164"/>
      <c r="BG26" s="78"/>
      <c r="BH26" s="35">
        <f>E26+I26+N26+S26+X26+AB26+AF26+AJ26+AP26+AT26+BC26+AZ26+AY26+AO26</f>
        <v>278708.10810810805</v>
      </c>
      <c r="BI26" s="48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L26" s="36"/>
      <c r="CM26" s="29"/>
      <c r="CN26" s="36"/>
      <c r="CO26" s="37"/>
      <c r="CP26" s="38"/>
      <c r="CQ26" s="36">
        <v>231000</v>
      </c>
      <c r="CR26" s="38"/>
      <c r="CS26" s="38"/>
      <c r="CT26" s="38"/>
    </row>
    <row r="27" spans="1:101" ht="14.1" thickBot="1">
      <c r="A27" s="32" t="s">
        <v>56</v>
      </c>
      <c r="B27" s="32">
        <v>0.25</v>
      </c>
      <c r="C27" s="50"/>
      <c r="D27" s="51" t="s">
        <v>57</v>
      </c>
      <c r="E27" s="162">
        <v>0</v>
      </c>
      <c r="F27" s="163"/>
      <c r="G27" s="163"/>
      <c r="H27" s="164"/>
      <c r="I27" s="162">
        <v>0</v>
      </c>
      <c r="J27" s="163"/>
      <c r="K27" s="163"/>
      <c r="L27" s="163"/>
      <c r="M27" s="164"/>
      <c r="N27" s="162">
        <v>0</v>
      </c>
      <c r="O27" s="163"/>
      <c r="P27" s="163"/>
      <c r="Q27" s="163"/>
      <c r="R27" s="164"/>
      <c r="S27" s="162">
        <f>0.25*S25</f>
        <v>11486.486486486485</v>
      </c>
      <c r="T27" s="163"/>
      <c r="U27" s="163"/>
      <c r="V27" s="163"/>
      <c r="W27" s="164"/>
      <c r="X27" s="162">
        <f>0.25*X25</f>
        <v>11486.486486486487</v>
      </c>
      <c r="Y27" s="163"/>
      <c r="Z27" s="163"/>
      <c r="AA27" s="164"/>
      <c r="AB27" s="162">
        <f>0.25*AB25</f>
        <v>14932.432432432432</v>
      </c>
      <c r="AC27" s="163"/>
      <c r="AD27" s="163"/>
      <c r="AE27" s="164"/>
      <c r="AF27" s="162">
        <f>0.25*AF25</f>
        <v>14932.432432432432</v>
      </c>
      <c r="AG27" s="163"/>
      <c r="AH27" s="163"/>
      <c r="AI27" s="164"/>
      <c r="AJ27" s="162">
        <v>0</v>
      </c>
      <c r="AK27" s="163"/>
      <c r="AL27" s="163"/>
      <c r="AM27" s="163"/>
      <c r="AN27" s="164"/>
      <c r="AO27" s="35">
        <f>0.25*AO25</f>
        <v>1608.1081081081081</v>
      </c>
      <c r="AP27" s="162">
        <f>0.25*AP25</f>
        <v>11486.486486486487</v>
      </c>
      <c r="AQ27" s="163"/>
      <c r="AR27" s="163"/>
      <c r="AS27" s="164"/>
      <c r="AT27" s="162">
        <f>0.25*AT25</f>
        <v>9189.1891891891901</v>
      </c>
      <c r="AU27" s="163"/>
      <c r="AV27" s="163"/>
      <c r="AW27" s="163"/>
      <c r="AX27" s="164"/>
      <c r="AY27" s="35">
        <v>0</v>
      </c>
      <c r="AZ27" s="162">
        <f>0.25*AZ25</f>
        <v>6891.8918918918926</v>
      </c>
      <c r="BA27" s="163"/>
      <c r="BB27" s="164"/>
      <c r="BC27" s="162">
        <f>0</f>
        <v>0</v>
      </c>
      <c r="BD27" s="163"/>
      <c r="BE27" s="163"/>
      <c r="BF27" s="164"/>
      <c r="BG27" s="78"/>
      <c r="BH27" s="35">
        <f t="shared" ref="BH27:BH28" si="2">E27+I27+N27+S27+X27+AB27+AF27+AJ27+AP27+AT27+BC27+AZ27+AY27+AO27</f>
        <v>82013.513513513521</v>
      </c>
      <c r="BI27" s="48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L27" s="36"/>
      <c r="CM27" s="29"/>
      <c r="CN27" s="36"/>
      <c r="CO27" s="37"/>
      <c r="CP27" s="38"/>
      <c r="CQ27" s="36">
        <v>129000</v>
      </c>
      <c r="CR27" s="38"/>
      <c r="CS27" s="38"/>
      <c r="CT27" s="38"/>
    </row>
    <row r="28" spans="1:101" ht="14.1" thickBot="1">
      <c r="A28" s="32" t="s">
        <v>58</v>
      </c>
      <c r="B28" s="32">
        <v>0.15</v>
      </c>
      <c r="C28" s="50"/>
      <c r="D28" s="51" t="s">
        <v>59</v>
      </c>
      <c r="E28" s="162">
        <f>0.35*E25</f>
        <v>11256.756756756755</v>
      </c>
      <c r="F28" s="165"/>
      <c r="G28" s="165"/>
      <c r="H28" s="166"/>
      <c r="I28" s="162">
        <f>0.35*I25</f>
        <v>8040.540540540539</v>
      </c>
      <c r="J28" s="163"/>
      <c r="K28" s="163"/>
      <c r="L28" s="163"/>
      <c r="M28" s="164"/>
      <c r="N28" s="162">
        <f>0.35*N25</f>
        <v>12864.864864864863</v>
      </c>
      <c r="O28" s="163"/>
      <c r="P28" s="163"/>
      <c r="Q28" s="163"/>
      <c r="R28" s="164"/>
      <c r="S28" s="162">
        <f>0.25*S25</f>
        <v>11486.486486486485</v>
      </c>
      <c r="T28" s="163"/>
      <c r="U28" s="163"/>
      <c r="V28" s="163"/>
      <c r="W28" s="164"/>
      <c r="X28" s="162">
        <f>0.25*X25</f>
        <v>11486.486486486487</v>
      </c>
      <c r="Y28" s="163"/>
      <c r="Z28" s="163"/>
      <c r="AA28" s="164"/>
      <c r="AB28" s="162">
        <f>0.25*AB25</f>
        <v>14932.432432432432</v>
      </c>
      <c r="AC28" s="163"/>
      <c r="AD28" s="163"/>
      <c r="AE28" s="164"/>
      <c r="AF28" s="162">
        <f>0.25*AF25</f>
        <v>14932.432432432432</v>
      </c>
      <c r="AG28" s="163"/>
      <c r="AH28" s="163"/>
      <c r="AI28" s="164"/>
      <c r="AJ28" s="162">
        <f>0.35*AJ25</f>
        <v>16081.081081081078</v>
      </c>
      <c r="AK28" s="163"/>
      <c r="AL28" s="163"/>
      <c r="AM28" s="163"/>
      <c r="AN28" s="164"/>
      <c r="AO28" s="35">
        <f>0.25*AO25</f>
        <v>1608.1081081081081</v>
      </c>
      <c r="AP28" s="162">
        <f>0.25*AP25</f>
        <v>11486.486486486487</v>
      </c>
      <c r="AQ28" s="163"/>
      <c r="AR28" s="163"/>
      <c r="AS28" s="164"/>
      <c r="AT28" s="162">
        <f>0.25*AT25</f>
        <v>9189.1891891891901</v>
      </c>
      <c r="AU28" s="163"/>
      <c r="AV28" s="163"/>
      <c r="AW28" s="163"/>
      <c r="AX28" s="164"/>
      <c r="AY28" s="35">
        <f>0.35*AY25</f>
        <v>643.24324324324323</v>
      </c>
      <c r="AZ28" s="162">
        <f>0.25*AZ25</f>
        <v>6891.8918918918926</v>
      </c>
      <c r="BA28" s="163"/>
      <c r="BB28" s="164"/>
      <c r="BC28" s="162">
        <f>0.35*BC25</f>
        <v>12864.864864864865</v>
      </c>
      <c r="BD28" s="163"/>
      <c r="BE28" s="163"/>
      <c r="BF28" s="164"/>
      <c r="BG28" s="78"/>
      <c r="BH28" s="35">
        <f t="shared" si="2"/>
        <v>143764.86486486485</v>
      </c>
      <c r="BI28" s="48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L28" s="36"/>
      <c r="CM28" s="29"/>
      <c r="CN28" s="36"/>
      <c r="CO28" s="37" t="e">
        <v>#REF!</v>
      </c>
      <c r="CP28" s="38"/>
      <c r="CQ28" s="36">
        <v>76000</v>
      </c>
      <c r="CR28" s="38"/>
      <c r="CS28" s="38"/>
      <c r="CT28" s="38"/>
    </row>
    <row r="29" spans="1:101" ht="15" thickBot="1">
      <c r="A29" s="32"/>
      <c r="B29" s="32"/>
      <c r="C29" s="50"/>
      <c r="D29" s="26" t="s">
        <v>60</v>
      </c>
      <c r="E29" s="203">
        <v>0</v>
      </c>
      <c r="F29" s="204"/>
      <c r="G29" s="204"/>
      <c r="H29" s="205"/>
      <c r="I29" s="206">
        <v>0</v>
      </c>
      <c r="J29" s="207"/>
      <c r="K29" s="207"/>
      <c r="L29" s="207"/>
      <c r="M29" s="208"/>
      <c r="N29" s="203">
        <v>0</v>
      </c>
      <c r="O29" s="204"/>
      <c r="P29" s="204"/>
      <c r="Q29" s="204"/>
      <c r="R29" s="205"/>
      <c r="S29" s="203">
        <v>0</v>
      </c>
      <c r="T29" s="204"/>
      <c r="U29" s="204"/>
      <c r="V29" s="204"/>
      <c r="W29" s="205"/>
      <c r="X29" s="203">
        <f>10600*X10</f>
        <v>9740.5405405405418</v>
      </c>
      <c r="Y29" s="204"/>
      <c r="Z29" s="204"/>
      <c r="AA29" s="205"/>
      <c r="AB29" s="203">
        <f>21200*AB10</f>
        <v>19481.08108108108</v>
      </c>
      <c r="AC29" s="204"/>
      <c r="AD29" s="204"/>
      <c r="AE29" s="205"/>
      <c r="AF29" s="203">
        <f>21200*AF10</f>
        <v>19481.08108108108</v>
      </c>
      <c r="AG29" s="204"/>
      <c r="AH29" s="204"/>
      <c r="AI29" s="205"/>
      <c r="AJ29" s="203">
        <f>14800*AJ10</f>
        <v>13600</v>
      </c>
      <c r="AK29" s="204"/>
      <c r="AL29" s="204"/>
      <c r="AM29" s="204"/>
      <c r="AN29" s="205"/>
      <c r="AO29" s="194">
        <v>0</v>
      </c>
      <c r="AP29" s="203">
        <f>17000*AP10</f>
        <v>15621.621621621622</v>
      </c>
      <c r="AQ29" s="204"/>
      <c r="AR29" s="204"/>
      <c r="AS29" s="205"/>
      <c r="AT29" s="203">
        <f>8500*AT10</f>
        <v>7810.8108108108108</v>
      </c>
      <c r="AU29" s="204"/>
      <c r="AV29" s="204"/>
      <c r="AW29" s="204"/>
      <c r="AX29" s="205"/>
      <c r="AY29" s="68">
        <v>0</v>
      </c>
      <c r="AZ29" s="203">
        <f>6400*AY10</f>
        <v>5881.0810810810817</v>
      </c>
      <c r="BA29" s="204"/>
      <c r="BB29" s="205"/>
      <c r="BC29" s="203">
        <f>6400*BC10</f>
        <v>5881.0810810810817</v>
      </c>
      <c r="BD29" s="204"/>
      <c r="BE29" s="204"/>
      <c r="BF29" s="205"/>
      <c r="BG29" s="27"/>
      <c r="BH29" s="28">
        <f>BC29+AZ29+AY29+AT29+AP29+AO29+AJ29+AF29+AB29+X29+S29+N29+I29+E29+14000</f>
        <v>111497.29729729731</v>
      </c>
      <c r="BI29" s="29">
        <f t="shared" ref="BI29:BI35" si="3">BH29/$BH$38</f>
        <v>3.112472988443836E-2</v>
      </c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L29" s="36"/>
      <c r="CM29" s="29"/>
      <c r="CN29" s="36"/>
      <c r="CO29" s="37"/>
      <c r="CP29" s="38"/>
      <c r="CQ29" s="36"/>
      <c r="CR29" s="38"/>
      <c r="CS29" s="38"/>
      <c r="CT29" s="38"/>
    </row>
    <row r="30" spans="1:101" ht="15" thickBot="1">
      <c r="A30" s="25" t="s">
        <v>41</v>
      </c>
      <c r="B30" s="25"/>
      <c r="C30" s="47"/>
      <c r="D30" s="26" t="s">
        <v>61</v>
      </c>
      <c r="E30" s="192">
        <v>0</v>
      </c>
      <c r="F30" s="198"/>
      <c r="G30" s="198"/>
      <c r="H30" s="199"/>
      <c r="I30" s="192">
        <v>0</v>
      </c>
      <c r="J30" s="185"/>
      <c r="K30" s="185"/>
      <c r="L30" s="185"/>
      <c r="M30" s="186"/>
      <c r="N30" s="192">
        <v>0</v>
      </c>
      <c r="O30" s="185"/>
      <c r="P30" s="185"/>
      <c r="Q30" s="185"/>
      <c r="R30" s="186"/>
      <c r="S30" s="192">
        <f>15000*S10</f>
        <v>13783.783783783783</v>
      </c>
      <c r="T30" s="185"/>
      <c r="U30" s="185"/>
      <c r="V30" s="185"/>
      <c r="W30" s="186"/>
      <c r="X30" s="192">
        <f>20000*X10</f>
        <v>18378.37837837838</v>
      </c>
      <c r="Y30" s="185"/>
      <c r="Z30" s="185"/>
      <c r="AA30" s="186"/>
      <c r="AB30" s="192">
        <f>35000*AB10</f>
        <v>32162.16216216216</v>
      </c>
      <c r="AC30" s="185"/>
      <c r="AD30" s="185"/>
      <c r="AE30" s="186"/>
      <c r="AF30" s="192">
        <f>35000*AF10</f>
        <v>32162.16216216216</v>
      </c>
      <c r="AG30" s="185"/>
      <c r="AH30" s="185"/>
      <c r="AI30" s="186"/>
      <c r="AJ30" s="192">
        <v>0</v>
      </c>
      <c r="AK30" s="185"/>
      <c r="AL30" s="185"/>
      <c r="AM30" s="185"/>
      <c r="AN30" s="186"/>
      <c r="AO30" s="194">
        <v>0</v>
      </c>
      <c r="AP30" s="192">
        <f>30000*AP10</f>
        <v>27567.56756756757</v>
      </c>
      <c r="AQ30" s="185"/>
      <c r="AR30" s="185"/>
      <c r="AS30" s="186"/>
      <c r="AT30" s="192">
        <v>0</v>
      </c>
      <c r="AU30" s="185"/>
      <c r="AV30" s="185"/>
      <c r="AW30" s="185"/>
      <c r="AX30" s="186"/>
      <c r="AY30" s="194">
        <v>0</v>
      </c>
      <c r="AZ30" s="192">
        <f>30000*AZ10</f>
        <v>27567.56756756757</v>
      </c>
      <c r="BA30" s="185"/>
      <c r="BB30" s="186"/>
      <c r="BC30" s="192">
        <v>0</v>
      </c>
      <c r="BD30" s="185"/>
      <c r="BE30" s="185"/>
      <c r="BF30" s="186"/>
      <c r="BG30" s="27"/>
      <c r="BH30" s="93">
        <f t="shared" ref="BH30:BH35" si="4">BC30+AZ30+AY30+AT30+AP30+AO30+AJ30+AF30+AB30+X30+S30+N30+I30+E30</f>
        <v>151621.62162162163</v>
      </c>
      <c r="BI30" s="29">
        <f t="shared" si="3"/>
        <v>4.2325528349178063E-2</v>
      </c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L30" s="28">
        <v>159585.55000000002</v>
      </c>
      <c r="CM30" s="29">
        <v>4.1631845169033982E-2</v>
      </c>
      <c r="CN30" s="28">
        <v>5414.4499999999825</v>
      </c>
      <c r="CO30" s="30">
        <v>3.3928197133136315E-2</v>
      </c>
      <c r="CP30" s="31"/>
      <c r="CQ30" s="28">
        <v>142000</v>
      </c>
      <c r="CR30" s="31"/>
      <c r="CS30" s="31"/>
      <c r="CT30" s="31"/>
    </row>
    <row r="31" spans="1:101" ht="15" thickBot="1">
      <c r="A31" s="25" t="s">
        <v>41</v>
      </c>
      <c r="B31" s="25"/>
      <c r="C31" s="47"/>
      <c r="D31" s="26" t="s">
        <v>62</v>
      </c>
      <c r="E31" s="192">
        <f>5000*E10</f>
        <v>4594.5945945945941</v>
      </c>
      <c r="F31" s="198"/>
      <c r="G31" s="198"/>
      <c r="H31" s="199"/>
      <c r="I31" s="192">
        <f>10000*I10</f>
        <v>9189.1891891891883</v>
      </c>
      <c r="J31" s="185"/>
      <c r="K31" s="185"/>
      <c r="L31" s="185"/>
      <c r="M31" s="186"/>
      <c r="N31" s="192">
        <f>N10*13000</f>
        <v>11945.945945945945</v>
      </c>
      <c r="O31" s="185"/>
      <c r="P31" s="185"/>
      <c r="Q31" s="185"/>
      <c r="R31" s="186"/>
      <c r="S31" s="192">
        <f>S10*13000</f>
        <v>11945.945945945945</v>
      </c>
      <c r="T31" s="185"/>
      <c r="U31" s="185"/>
      <c r="V31" s="185"/>
      <c r="W31" s="186"/>
      <c r="X31" s="192">
        <f>X10*15000</f>
        <v>13783.783783783785</v>
      </c>
      <c r="Y31" s="185"/>
      <c r="Z31" s="185"/>
      <c r="AA31" s="186"/>
      <c r="AB31" s="192">
        <f>AB10*20000</f>
        <v>18378.378378378377</v>
      </c>
      <c r="AC31" s="185"/>
      <c r="AD31" s="185"/>
      <c r="AE31" s="186"/>
      <c r="AF31" s="192">
        <f>20000*AJ10</f>
        <v>18378.378378378377</v>
      </c>
      <c r="AG31" s="185"/>
      <c r="AH31" s="185"/>
      <c r="AI31" s="186"/>
      <c r="AJ31" s="192">
        <f>15000*AJ10</f>
        <v>13783.783783783783</v>
      </c>
      <c r="AK31" s="185"/>
      <c r="AL31" s="185"/>
      <c r="AM31" s="185"/>
      <c r="AN31" s="186"/>
      <c r="AO31" s="194">
        <f>5000*AP10</f>
        <v>4594.594594594595</v>
      </c>
      <c r="AP31" s="192">
        <f>15000*AP10</f>
        <v>13783.783783783785</v>
      </c>
      <c r="AQ31" s="185"/>
      <c r="AR31" s="185"/>
      <c r="AS31" s="186"/>
      <c r="AT31" s="192">
        <f>10000*AT10</f>
        <v>9189.1891891891901</v>
      </c>
      <c r="AU31" s="185"/>
      <c r="AV31" s="185"/>
      <c r="AW31" s="185"/>
      <c r="AX31" s="186"/>
      <c r="AY31" s="194">
        <f>5000*AY10</f>
        <v>4594.594594594595</v>
      </c>
      <c r="AZ31" s="192">
        <f>10000*AZ10</f>
        <v>9189.1891891891901</v>
      </c>
      <c r="BA31" s="185"/>
      <c r="BB31" s="186"/>
      <c r="BC31" s="192">
        <v>0</v>
      </c>
      <c r="BD31" s="185"/>
      <c r="BE31" s="185"/>
      <c r="BF31" s="186"/>
      <c r="BG31" s="27"/>
      <c r="BH31" s="28">
        <f t="shared" si="4"/>
        <v>143351.35135135133</v>
      </c>
      <c r="BI31" s="29">
        <f t="shared" si="3"/>
        <v>4.0016863166495616E-2</v>
      </c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L31" s="28">
        <v>130085.15999999999</v>
      </c>
      <c r="CM31" s="29">
        <v>3.3935937432361583E-2</v>
      </c>
      <c r="CN31" s="28">
        <v>25914.840000000011</v>
      </c>
      <c r="CO31" s="30">
        <v>0.19921442230612635</v>
      </c>
      <c r="CP31" s="31"/>
      <c r="CQ31" s="28">
        <v>157000</v>
      </c>
      <c r="CR31" s="31"/>
      <c r="CS31" s="31"/>
      <c r="CT31" s="31"/>
    </row>
    <row r="32" spans="1:101" ht="15" thickBot="1">
      <c r="A32" s="25" t="s">
        <v>41</v>
      </c>
      <c r="B32" s="25"/>
      <c r="C32" s="47"/>
      <c r="D32" s="26" t="s">
        <v>63</v>
      </c>
      <c r="E32" s="192">
        <f>10000*E10</f>
        <v>9189.1891891891883</v>
      </c>
      <c r="F32" s="185"/>
      <c r="G32" s="185"/>
      <c r="H32" s="186"/>
      <c r="I32" s="192">
        <f>10000*I10</f>
        <v>9189.1891891891883</v>
      </c>
      <c r="J32" s="185"/>
      <c r="K32" s="185"/>
      <c r="L32" s="185"/>
      <c r="M32" s="186"/>
      <c r="N32" s="192">
        <f>28000*N10</f>
        <v>25729.729729729726</v>
      </c>
      <c r="O32" s="185"/>
      <c r="P32" s="185"/>
      <c r="Q32" s="185"/>
      <c r="R32" s="186"/>
      <c r="S32" s="192">
        <f>20000*S10</f>
        <v>18378.378378378377</v>
      </c>
      <c r="T32" s="185"/>
      <c r="U32" s="185"/>
      <c r="V32" s="185"/>
      <c r="W32" s="186"/>
      <c r="X32" s="192">
        <f>20000*X10</f>
        <v>18378.37837837838</v>
      </c>
      <c r="Y32" s="185"/>
      <c r="Z32" s="185"/>
      <c r="AA32" s="186"/>
      <c r="AB32" s="192">
        <f>30000*AB10</f>
        <v>27567.567567567567</v>
      </c>
      <c r="AC32" s="185"/>
      <c r="AD32" s="185"/>
      <c r="AE32" s="186"/>
      <c r="AF32" s="192">
        <f>35000*AF10</f>
        <v>32162.16216216216</v>
      </c>
      <c r="AG32" s="185"/>
      <c r="AH32" s="185"/>
      <c r="AI32" s="186"/>
      <c r="AJ32" s="192">
        <f>AJ10*25000</f>
        <v>22972.97297297297</v>
      </c>
      <c r="AK32" s="185"/>
      <c r="AL32" s="185"/>
      <c r="AM32" s="185"/>
      <c r="AN32" s="186"/>
      <c r="AO32" s="194">
        <f>AO10*5000</f>
        <v>4594.594594594595</v>
      </c>
      <c r="AP32" s="192">
        <f>30000*AP10</f>
        <v>27567.56756756757</v>
      </c>
      <c r="AQ32" s="185"/>
      <c r="AR32" s="185"/>
      <c r="AS32" s="186"/>
      <c r="AT32" s="192">
        <f>15000*AT10</f>
        <v>13783.783783783785</v>
      </c>
      <c r="AU32" s="185"/>
      <c r="AV32" s="185"/>
      <c r="AW32" s="185"/>
      <c r="AX32" s="186"/>
      <c r="AY32" s="194">
        <f>5000*AY10</f>
        <v>4594.594594594595</v>
      </c>
      <c r="AZ32" s="192">
        <f>15000*AZ10</f>
        <v>13783.783783783785</v>
      </c>
      <c r="BA32" s="185"/>
      <c r="BB32" s="186"/>
      <c r="BC32" s="192">
        <f>15000*BC10</f>
        <v>13783.783783783785</v>
      </c>
      <c r="BD32" s="185"/>
      <c r="BE32" s="185"/>
      <c r="BF32" s="186"/>
      <c r="BG32" s="27"/>
      <c r="BH32" s="28">
        <f t="shared" si="4"/>
        <v>241675.67567567571</v>
      </c>
      <c r="BI32" s="29">
        <f t="shared" si="3"/>
        <v>6.7464327005053532E-2</v>
      </c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L32" s="28">
        <v>217902.63374999998</v>
      </c>
      <c r="CM32" s="29">
        <v>5.6845301533909036E-2</v>
      </c>
      <c r="CN32" s="28">
        <v>45097.366250000021</v>
      </c>
      <c r="CO32" s="30">
        <v>0.20696108841777608</v>
      </c>
      <c r="CP32" s="31"/>
      <c r="CQ32" s="28">
        <v>170000</v>
      </c>
      <c r="CR32" s="31"/>
      <c r="CS32" s="31"/>
      <c r="CT32" s="31"/>
    </row>
    <row r="33" spans="1:101" ht="15" thickBot="1">
      <c r="A33" s="47"/>
      <c r="B33" s="47"/>
      <c r="C33" s="47"/>
      <c r="D33" s="52" t="s">
        <v>64</v>
      </c>
      <c r="E33" s="192">
        <v>0</v>
      </c>
      <c r="F33" s="185"/>
      <c r="G33" s="185"/>
      <c r="H33" s="186"/>
      <c r="I33" s="192">
        <v>0</v>
      </c>
      <c r="J33" s="185"/>
      <c r="K33" s="185"/>
      <c r="L33" s="185"/>
      <c r="M33" s="186"/>
      <c r="N33" s="192">
        <v>0</v>
      </c>
      <c r="O33" s="185"/>
      <c r="P33" s="185"/>
      <c r="Q33" s="185"/>
      <c r="R33" s="186"/>
      <c r="S33" s="192">
        <f>10000*S10</f>
        <v>9189.1891891891883</v>
      </c>
      <c r="T33" s="185"/>
      <c r="U33" s="185"/>
      <c r="V33" s="185"/>
      <c r="W33" s="186"/>
      <c r="X33" s="192">
        <f>10000*X10</f>
        <v>9189.1891891891901</v>
      </c>
      <c r="Y33" s="185"/>
      <c r="Z33" s="185"/>
      <c r="AA33" s="186"/>
      <c r="AB33" s="192">
        <f>10000*AB10</f>
        <v>9189.1891891891883</v>
      </c>
      <c r="AC33" s="185"/>
      <c r="AD33" s="185"/>
      <c r="AE33" s="186"/>
      <c r="AF33" s="192">
        <f>10000*AF10</f>
        <v>9189.1891891891883</v>
      </c>
      <c r="AG33" s="185"/>
      <c r="AH33" s="185"/>
      <c r="AI33" s="186"/>
      <c r="AJ33" s="192">
        <f>10000*AJ10</f>
        <v>9189.1891891891883</v>
      </c>
      <c r="AK33" s="185"/>
      <c r="AL33" s="185"/>
      <c r="AM33" s="185"/>
      <c r="AN33" s="186"/>
      <c r="AO33" s="194">
        <v>0</v>
      </c>
      <c r="AP33" s="192">
        <f>10000*AP10</f>
        <v>9189.1891891891901</v>
      </c>
      <c r="AQ33" s="185"/>
      <c r="AR33" s="185"/>
      <c r="AS33" s="186"/>
      <c r="AT33" s="192">
        <f>10000*AT10</f>
        <v>9189.1891891891901</v>
      </c>
      <c r="AU33" s="185"/>
      <c r="AV33" s="185"/>
      <c r="AW33" s="185"/>
      <c r="AX33" s="186"/>
      <c r="AY33" s="194">
        <v>0</v>
      </c>
      <c r="AZ33" s="192">
        <f>10000*AZ10</f>
        <v>9189.1891891891901</v>
      </c>
      <c r="BA33" s="185"/>
      <c r="BB33" s="186"/>
      <c r="BC33" s="192">
        <f>10000*BC10</f>
        <v>9189.1891891891901</v>
      </c>
      <c r="BD33" s="185"/>
      <c r="BE33" s="185"/>
      <c r="BF33" s="186"/>
      <c r="BG33" s="27"/>
      <c r="BH33" s="28">
        <f t="shared" si="4"/>
        <v>82702.702702702692</v>
      </c>
      <c r="BI33" s="29">
        <f t="shared" si="3"/>
        <v>2.3086651826824393E-2</v>
      </c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L33" s="28"/>
      <c r="CM33" s="29"/>
      <c r="CN33" s="28"/>
      <c r="CO33" s="30"/>
      <c r="CP33" s="31"/>
      <c r="CQ33" s="28"/>
      <c r="CR33" s="31"/>
      <c r="CS33" s="31"/>
      <c r="CT33" s="31"/>
    </row>
    <row r="34" spans="1:101" ht="15" thickBot="1">
      <c r="A34" s="47"/>
      <c r="B34" s="47"/>
      <c r="C34" s="47"/>
      <c r="D34" s="26" t="s">
        <v>65</v>
      </c>
      <c r="E34" s="192">
        <v>0</v>
      </c>
      <c r="F34" s="185"/>
      <c r="G34" s="185"/>
      <c r="H34" s="186"/>
      <c r="I34" s="192">
        <v>0</v>
      </c>
      <c r="J34" s="185"/>
      <c r="K34" s="185"/>
      <c r="L34" s="185"/>
      <c r="M34" s="186"/>
      <c r="N34" s="192">
        <v>0</v>
      </c>
      <c r="O34" s="185"/>
      <c r="P34" s="185"/>
      <c r="Q34" s="185"/>
      <c r="R34" s="186"/>
      <c r="S34" s="192">
        <v>0</v>
      </c>
      <c r="T34" s="185"/>
      <c r="U34" s="185"/>
      <c r="V34" s="185"/>
      <c r="W34" s="186"/>
      <c r="X34" s="192">
        <v>0</v>
      </c>
      <c r="Y34" s="185"/>
      <c r="Z34" s="185"/>
      <c r="AA34" s="186"/>
      <c r="AB34" s="192">
        <v>0</v>
      </c>
      <c r="AC34" s="185"/>
      <c r="AD34" s="185"/>
      <c r="AE34" s="186"/>
      <c r="AF34" s="192">
        <v>0</v>
      </c>
      <c r="AG34" s="185"/>
      <c r="AH34" s="185"/>
      <c r="AI34" s="186"/>
      <c r="AJ34" s="192">
        <v>0</v>
      </c>
      <c r="AK34" s="185"/>
      <c r="AL34" s="185"/>
      <c r="AM34" s="185"/>
      <c r="AN34" s="186"/>
      <c r="AO34" s="194">
        <v>0</v>
      </c>
      <c r="AP34" s="192">
        <v>0</v>
      </c>
      <c r="AQ34" s="185"/>
      <c r="AR34" s="185"/>
      <c r="AS34" s="186"/>
      <c r="AT34" s="192">
        <v>0</v>
      </c>
      <c r="AU34" s="185"/>
      <c r="AV34" s="185"/>
      <c r="AW34" s="185"/>
      <c r="AX34" s="186"/>
      <c r="AY34" s="194">
        <v>0</v>
      </c>
      <c r="AZ34" s="192">
        <v>0</v>
      </c>
      <c r="BA34" s="185"/>
      <c r="BB34" s="186"/>
      <c r="BC34" s="192">
        <v>0</v>
      </c>
      <c r="BD34" s="185"/>
      <c r="BE34" s="185"/>
      <c r="BF34" s="186"/>
      <c r="BG34" s="27"/>
      <c r="BH34" s="28">
        <f t="shared" si="4"/>
        <v>0</v>
      </c>
      <c r="BI34" s="29">
        <f t="shared" si="3"/>
        <v>0</v>
      </c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L34" s="28">
        <v>77261.329999999987</v>
      </c>
      <c r="CM34" s="29">
        <v>2.0155532428303435E-2</v>
      </c>
      <c r="CN34" s="28">
        <v>-77261.329999999987</v>
      </c>
      <c r="CO34" s="30">
        <v>-1</v>
      </c>
      <c r="CP34" s="31"/>
      <c r="CQ34" s="28">
        <v>50000</v>
      </c>
      <c r="CR34" s="31"/>
      <c r="CS34" s="31"/>
      <c r="CT34" s="31"/>
    </row>
    <row r="35" spans="1:101" ht="15" thickBot="1">
      <c r="A35" s="49"/>
      <c r="B35" s="49"/>
      <c r="C35" s="49"/>
      <c r="D35" s="26" t="s">
        <v>66</v>
      </c>
      <c r="E35" s="192">
        <v>0</v>
      </c>
      <c r="F35" s="185"/>
      <c r="G35" s="185"/>
      <c r="H35" s="186"/>
      <c r="I35" s="192">
        <v>0</v>
      </c>
      <c r="J35" s="185"/>
      <c r="K35" s="185"/>
      <c r="L35" s="185"/>
      <c r="M35" s="186"/>
      <c r="N35" s="192">
        <v>0</v>
      </c>
      <c r="O35" s="185"/>
      <c r="P35" s="185"/>
      <c r="Q35" s="185"/>
      <c r="R35" s="186"/>
      <c r="S35" s="192">
        <v>0</v>
      </c>
      <c r="T35" s="185"/>
      <c r="U35" s="185"/>
      <c r="V35" s="185"/>
      <c r="W35" s="186"/>
      <c r="X35" s="192">
        <v>0</v>
      </c>
      <c r="Y35" s="185"/>
      <c r="Z35" s="185"/>
      <c r="AA35" s="186"/>
      <c r="AB35" s="192">
        <v>0</v>
      </c>
      <c r="AC35" s="185"/>
      <c r="AD35" s="185"/>
      <c r="AE35" s="186"/>
      <c r="AF35" s="192">
        <v>0</v>
      </c>
      <c r="AG35" s="185"/>
      <c r="AH35" s="185"/>
      <c r="AI35" s="186"/>
      <c r="AJ35" s="192">
        <v>0</v>
      </c>
      <c r="AK35" s="185"/>
      <c r="AL35" s="185"/>
      <c r="AM35" s="185"/>
      <c r="AN35" s="186"/>
      <c r="AO35" s="194">
        <v>0</v>
      </c>
      <c r="AP35" s="192">
        <v>0</v>
      </c>
      <c r="AQ35" s="185"/>
      <c r="AR35" s="185"/>
      <c r="AS35" s="186"/>
      <c r="AT35" s="192">
        <v>0</v>
      </c>
      <c r="AU35" s="185"/>
      <c r="AV35" s="185"/>
      <c r="AW35" s="185"/>
      <c r="AX35" s="186"/>
      <c r="AY35" s="194">
        <v>0</v>
      </c>
      <c r="AZ35" s="192">
        <v>0</v>
      </c>
      <c r="BA35" s="185"/>
      <c r="BB35" s="186"/>
      <c r="BC35" s="192">
        <v>0</v>
      </c>
      <c r="BD35" s="185"/>
      <c r="BE35" s="185"/>
      <c r="BF35" s="186"/>
      <c r="BG35" s="27"/>
      <c r="BH35" s="28">
        <f t="shared" si="4"/>
        <v>0</v>
      </c>
      <c r="BI35" s="29">
        <f t="shared" si="3"/>
        <v>0</v>
      </c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L35" s="28">
        <v>2122.09</v>
      </c>
      <c r="CM35" s="29">
        <v>5.5359976084774169E-4</v>
      </c>
      <c r="CN35" s="28">
        <v>-2122.09</v>
      </c>
      <c r="CO35" s="30">
        <v>-1</v>
      </c>
      <c r="CP35" s="31"/>
      <c r="CQ35" s="28">
        <v>30000</v>
      </c>
      <c r="CR35" s="31"/>
      <c r="CS35" s="31"/>
      <c r="CT35" s="31"/>
    </row>
    <row r="36" spans="1:101" ht="32.25" customHeight="1" thickBot="1">
      <c r="A36" s="42"/>
      <c r="B36" s="42"/>
      <c r="C36" s="42"/>
      <c r="D36" s="43" t="s">
        <v>67</v>
      </c>
      <c r="E36" s="200">
        <f>E23+E24+E25+E30+E31+E32+E33+E34+E35+E29</f>
        <v>53940.540540540533</v>
      </c>
      <c r="F36" s="185"/>
      <c r="G36" s="185"/>
      <c r="H36" s="186"/>
      <c r="I36" s="200">
        <f>I23+I24+I25+I30+I31+I32+I33+I34+I35+I29</f>
        <v>41351.351351351346</v>
      </c>
      <c r="J36" s="185"/>
      <c r="K36" s="185"/>
      <c r="L36" s="185"/>
      <c r="M36" s="186"/>
      <c r="N36" s="200">
        <f>N23+N24+N25+N30+N31+N32+N33+N34+N35+N29</f>
        <v>89135.135135135119</v>
      </c>
      <c r="O36" s="185"/>
      <c r="P36" s="185"/>
      <c r="Q36" s="185"/>
      <c r="R36" s="186"/>
      <c r="S36" s="200">
        <f>S23+S24+S25+S30+S31+S32+S33+S34+S35+S29</f>
        <v>99243.243243243225</v>
      </c>
      <c r="T36" s="185"/>
      <c r="U36" s="185"/>
      <c r="V36" s="185"/>
      <c r="W36" s="186"/>
      <c r="X36" s="200">
        <f>X23+X24+X25+X30+X31+X32+X33+X34+X35+X29</f>
        <v>115416.21621621621</v>
      </c>
      <c r="Y36" s="185"/>
      <c r="Z36" s="185"/>
      <c r="AA36" s="186"/>
      <c r="AB36" s="200">
        <f>AB23+AB24+AB25+AB30+AB31+AB32+AB33+AB34+AB35+AB29</f>
        <v>206481.08108108107</v>
      </c>
      <c r="AC36" s="185"/>
      <c r="AD36" s="185"/>
      <c r="AE36" s="186"/>
      <c r="AF36" s="200">
        <f>AF23+AF24+AF25+AF30+AF31+AF32+AF33+AF34+AF35+AF29</f>
        <v>211075.67567567568</v>
      </c>
      <c r="AG36" s="185"/>
      <c r="AH36" s="185"/>
      <c r="AI36" s="186"/>
      <c r="AJ36" s="200">
        <f>AJ23+AJ24+AJ25+AJ30+AJ31+AJ32+AJ33+AJ34+AJ35+AJ29</f>
        <v>105491.89189189188</v>
      </c>
      <c r="AK36" s="185"/>
      <c r="AL36" s="185"/>
      <c r="AM36" s="185"/>
      <c r="AN36" s="186"/>
      <c r="AO36" s="53">
        <f>AO23+AO24+AO25+AO30+AO31+AO32+AO33+AO34+AO29</f>
        <v>15621.621621621622</v>
      </c>
      <c r="AP36" s="200">
        <f>AP23+AP24+AP25+AP30+AP31+AP32+AP33+AP34+AP35+AP29</f>
        <v>179648.64864864867</v>
      </c>
      <c r="AQ36" s="185"/>
      <c r="AR36" s="185"/>
      <c r="AS36" s="186"/>
      <c r="AT36" s="200">
        <f>AT23+AT24+AT25+AT30+AT31+AT32+AT33+AT34+AT35+AT29</f>
        <v>76729.729729729734</v>
      </c>
      <c r="AU36" s="185"/>
      <c r="AV36" s="185"/>
      <c r="AW36" s="185"/>
      <c r="AX36" s="186"/>
      <c r="AY36" s="53">
        <f>AY23+AY24+AY25+AY31+AY32+AY33+AY34+AY35+AY30+AY29</f>
        <v>11027.027027027028</v>
      </c>
      <c r="AZ36" s="200">
        <f>AZ23+AZ24+AZ25+AZ30+AZ31+AZ32+AZ33+AZ34+AZ35+AZ29</f>
        <v>93178.378378378387</v>
      </c>
      <c r="BA36" s="185"/>
      <c r="BB36" s="186"/>
      <c r="BC36" s="200">
        <f>BC23+BC24+BC25+BC30+BC31+BC32+BC33+BC34+BC35+BC29</f>
        <v>65610.810810810814</v>
      </c>
      <c r="BD36" s="185"/>
      <c r="BE36" s="185"/>
      <c r="BF36" s="186"/>
      <c r="BG36" s="27"/>
      <c r="BH36" s="28">
        <f>BH23+BH24+BH25+BH30+BH31+BH32+BH33+BH34+BH35+BH29</f>
        <v>1377951.3513513512</v>
      </c>
      <c r="BI36" s="29">
        <f t="shared" ref="BI36" si="5">BH36/$BH$38</f>
        <v>0.38465832485920926</v>
      </c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54"/>
      <c r="CL36" s="28">
        <v>1306728.6137500003</v>
      </c>
      <c r="CM36" s="29">
        <v>0.34089253898981708</v>
      </c>
      <c r="CN36" s="28">
        <v>71471.386249999749</v>
      </c>
      <c r="CO36" s="30">
        <v>5.4694896475017775E-2</v>
      </c>
      <c r="CP36" s="31"/>
      <c r="CQ36" s="28">
        <v>1239000</v>
      </c>
      <c r="CR36" s="31"/>
      <c r="CS36" s="31"/>
      <c r="CT36" s="31"/>
      <c r="CW36" s="79"/>
    </row>
    <row r="37" spans="1:101" ht="14.1" thickBot="1">
      <c r="A37" s="55"/>
      <c r="B37" s="55"/>
      <c r="C37" s="55"/>
      <c r="D37" s="55"/>
      <c r="E37" s="56"/>
      <c r="I37" s="209"/>
      <c r="J37" s="210"/>
      <c r="K37" s="210"/>
      <c r="L37" s="210"/>
      <c r="M37" s="210"/>
      <c r="N37" s="210"/>
      <c r="O37" s="210"/>
      <c r="P37" s="210"/>
      <c r="Q37" s="210"/>
      <c r="R37" s="210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</row>
    <row r="38" spans="1:101" ht="32.25" customHeight="1" thickBot="1">
      <c r="A38" s="42"/>
      <c r="B38" s="42"/>
      <c r="C38" s="42"/>
      <c r="D38" s="87" t="s">
        <v>68</v>
      </c>
      <c r="E38" s="211">
        <f>E36+E19</f>
        <v>53940.540540540533</v>
      </c>
      <c r="F38" s="212"/>
      <c r="G38" s="212"/>
      <c r="H38" s="213"/>
      <c r="I38" s="211">
        <f>I36+I19</f>
        <v>41351.351351351346</v>
      </c>
      <c r="J38" s="212"/>
      <c r="K38" s="212"/>
      <c r="L38" s="212"/>
      <c r="M38" s="213"/>
      <c r="N38" s="211">
        <f>N36+N19</f>
        <v>89135.135135135119</v>
      </c>
      <c r="O38" s="212"/>
      <c r="P38" s="212"/>
      <c r="Q38" s="212"/>
      <c r="R38" s="213"/>
      <c r="S38" s="211">
        <f>S36+S19</f>
        <v>273837.83783783781</v>
      </c>
      <c r="T38" s="212"/>
      <c r="U38" s="212"/>
      <c r="V38" s="212"/>
      <c r="W38" s="213"/>
      <c r="X38" s="211">
        <f>X36+X19</f>
        <v>402795.46378378384</v>
      </c>
      <c r="Y38" s="212"/>
      <c r="Z38" s="212"/>
      <c r="AA38" s="213"/>
      <c r="AB38" s="211">
        <f>AB36+AB19</f>
        <v>708696.91891891882</v>
      </c>
      <c r="AC38" s="212"/>
      <c r="AD38" s="212"/>
      <c r="AE38" s="213"/>
      <c r="AF38" s="211">
        <f>AF36+AF19</f>
        <v>616692</v>
      </c>
      <c r="AG38" s="212"/>
      <c r="AH38" s="212"/>
      <c r="AI38" s="213"/>
      <c r="AJ38" s="211">
        <f>AJ36+AJ19</f>
        <v>261248.64864864864</v>
      </c>
      <c r="AK38" s="212"/>
      <c r="AL38" s="212"/>
      <c r="AM38" s="212"/>
      <c r="AN38" s="213"/>
      <c r="AO38" s="86">
        <f>AO36+AO19</f>
        <v>109351.35135135136</v>
      </c>
      <c r="AP38" s="211">
        <f>AP36+AP19</f>
        <v>373356.7567567568</v>
      </c>
      <c r="AQ38" s="212"/>
      <c r="AR38" s="212"/>
      <c r="AS38" s="213"/>
      <c r="AT38" s="211">
        <f>AT36+AT19</f>
        <v>181394.59459459462</v>
      </c>
      <c r="AU38" s="212"/>
      <c r="AV38" s="212"/>
      <c r="AW38" s="212"/>
      <c r="AX38" s="213"/>
      <c r="AY38" s="86">
        <f>AY36+AY19</f>
        <v>11027.027027027028</v>
      </c>
      <c r="AZ38" s="211">
        <f>AZ36+AZ19</f>
        <v>379835.13513513521</v>
      </c>
      <c r="BA38" s="212"/>
      <c r="BB38" s="213"/>
      <c r="BC38" s="211">
        <f>BC36+BC19</f>
        <v>65610.810810810814</v>
      </c>
      <c r="BD38" s="212"/>
      <c r="BE38" s="212"/>
      <c r="BF38" s="213"/>
      <c r="BG38" s="27"/>
      <c r="BH38" s="88">
        <f>BH36+BH19</f>
        <v>3582273.5718918918</v>
      </c>
      <c r="BI38" s="80">
        <f>BI11+BI14+BI17+BI18+BI23+BI24+BI25+BI29+BI30+BI31+BI32+BI33+BI34+BI35</f>
        <v>1</v>
      </c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54"/>
      <c r="CL38" s="57">
        <v>3833256.7137500001</v>
      </c>
      <c r="CM38" s="29"/>
      <c r="CN38" s="28">
        <v>-89056.713750000112</v>
      </c>
      <c r="CO38" s="30">
        <v>-2.3232650563305913E-2</v>
      </c>
      <c r="CP38" s="31"/>
      <c r="CQ38" s="54">
        <v>3749000</v>
      </c>
      <c r="CR38" s="31"/>
      <c r="CS38" s="31"/>
      <c r="CT38" s="31"/>
    </row>
    <row r="39" spans="1:101" ht="18.95" thickBot="1">
      <c r="A39" s="12"/>
      <c r="B39" s="12"/>
      <c r="C39" s="12"/>
      <c r="D39" s="43" t="s">
        <v>69</v>
      </c>
      <c r="E39" s="200">
        <v>66021.47</v>
      </c>
      <c r="F39" s="185"/>
      <c r="G39" s="185"/>
      <c r="H39" s="186"/>
      <c r="I39" s="200">
        <v>56844.67</v>
      </c>
      <c r="J39" s="185"/>
      <c r="K39" s="185"/>
      <c r="L39" s="185"/>
      <c r="M39" s="186"/>
      <c r="N39" s="200">
        <v>95152.36</v>
      </c>
      <c r="O39" s="185"/>
      <c r="P39" s="185"/>
      <c r="Q39" s="185"/>
      <c r="R39" s="186"/>
      <c r="S39" s="200">
        <v>332580.64</v>
      </c>
      <c r="T39" s="185"/>
      <c r="U39" s="185"/>
      <c r="V39" s="185"/>
      <c r="W39" s="186"/>
      <c r="X39" s="200">
        <v>276014.81000000006</v>
      </c>
      <c r="Y39" s="185"/>
      <c r="Z39" s="185"/>
      <c r="AA39" s="186"/>
      <c r="AB39" s="200">
        <v>717737.45</v>
      </c>
      <c r="AC39" s="185"/>
      <c r="AD39" s="185"/>
      <c r="AE39" s="186"/>
      <c r="AF39" s="200">
        <v>776787.92</v>
      </c>
      <c r="AG39" s="185"/>
      <c r="AH39" s="185"/>
      <c r="AI39" s="186"/>
      <c r="AJ39" s="200">
        <v>322646.64</v>
      </c>
      <c r="AK39" s="185"/>
      <c r="AL39" s="185"/>
      <c r="AM39" s="185"/>
      <c r="AN39" s="186"/>
      <c r="AO39" s="53">
        <v>109939.4925125</v>
      </c>
      <c r="AP39" s="200">
        <v>481947.88748749997</v>
      </c>
      <c r="AQ39" s="185"/>
      <c r="AR39" s="185"/>
      <c r="AS39" s="186"/>
      <c r="AT39" s="200">
        <v>166502.54999999999</v>
      </c>
      <c r="AU39" s="185"/>
      <c r="AV39" s="185"/>
      <c r="AW39" s="185"/>
      <c r="AX39" s="186"/>
      <c r="AY39" s="53">
        <v>72466.338097500004</v>
      </c>
      <c r="AZ39" s="200">
        <v>207087.6919025</v>
      </c>
      <c r="BA39" s="185"/>
      <c r="BB39" s="186"/>
      <c r="BC39" s="200">
        <v>151526.79375000001</v>
      </c>
      <c r="BD39" s="185"/>
      <c r="BE39" s="185"/>
      <c r="BF39" s="186"/>
      <c r="BG39" s="27"/>
      <c r="BH39" s="28">
        <v>3833256.7137500001</v>
      </c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R39" s="54"/>
      <c r="CS39" s="54"/>
      <c r="CT39" s="54"/>
    </row>
    <row r="40" spans="1:101" ht="18.95" thickBot="1">
      <c r="D40" s="43" t="s">
        <v>70</v>
      </c>
      <c r="E40" s="145">
        <f>E38-E39</f>
        <v>-12080.929459459468</v>
      </c>
      <c r="F40" s="185"/>
      <c r="G40" s="185"/>
      <c r="H40" s="186"/>
      <c r="I40" s="145">
        <f>I38-I39</f>
        <v>-15493.318648648652</v>
      </c>
      <c r="J40" s="185"/>
      <c r="K40" s="185"/>
      <c r="L40" s="185"/>
      <c r="M40" s="186"/>
      <c r="N40" s="145">
        <f>N38-N39</f>
        <v>-6017.224864864882</v>
      </c>
      <c r="O40" s="185"/>
      <c r="P40" s="185"/>
      <c r="Q40" s="185"/>
      <c r="R40" s="186"/>
      <c r="S40" s="145">
        <f>S38-S39</f>
        <v>-58742.802162162203</v>
      </c>
      <c r="T40" s="185"/>
      <c r="U40" s="185"/>
      <c r="V40" s="185"/>
      <c r="W40" s="186"/>
      <c r="X40" s="145">
        <f>X38-X39</f>
        <v>126780.65378378378</v>
      </c>
      <c r="Y40" s="185"/>
      <c r="Z40" s="185"/>
      <c r="AA40" s="186"/>
      <c r="AB40" s="145">
        <f>AB38-AB39</f>
        <v>-9040.5310810811352</v>
      </c>
      <c r="AC40" s="185"/>
      <c r="AD40" s="185"/>
      <c r="AE40" s="186"/>
      <c r="AF40" s="145">
        <f>AF38-AF39</f>
        <v>-160095.92000000004</v>
      </c>
      <c r="AG40" s="185"/>
      <c r="AH40" s="185"/>
      <c r="AI40" s="186"/>
      <c r="AJ40" s="145">
        <f>AJ38-AJ39</f>
        <v>-61397.991351351375</v>
      </c>
      <c r="AK40" s="185"/>
      <c r="AL40" s="185"/>
      <c r="AM40" s="185"/>
      <c r="AN40" s="186"/>
      <c r="AO40" s="58">
        <f>AO38-AO39</f>
        <v>-588.14116114864009</v>
      </c>
      <c r="AP40" s="145">
        <f>AP38-AP39</f>
        <v>-108591.13073074317</v>
      </c>
      <c r="AQ40" s="185"/>
      <c r="AR40" s="185"/>
      <c r="AS40" s="186"/>
      <c r="AT40" s="145">
        <f>AT38-AT39</f>
        <v>14892.044594594627</v>
      </c>
      <c r="AU40" s="185"/>
      <c r="AV40" s="185"/>
      <c r="AW40" s="185"/>
      <c r="AX40" s="186"/>
      <c r="AY40" s="58">
        <f>AY38-AY39</f>
        <v>-61439.311070472977</v>
      </c>
      <c r="AZ40" s="145">
        <f>AZ38-AZ39</f>
        <v>172747.44323263521</v>
      </c>
      <c r="BA40" s="185"/>
      <c r="BB40" s="186"/>
      <c r="BC40" s="145">
        <f>BC38-BC39</f>
        <v>-85915.982939189198</v>
      </c>
      <c r="BD40" s="185"/>
      <c r="BE40" s="185"/>
      <c r="BF40" s="186"/>
      <c r="BG40" s="59"/>
      <c r="BH40" s="60">
        <v>-89056.713750000054</v>
      </c>
    </row>
    <row r="41" spans="1:101" ht="18.95" thickBot="1">
      <c r="D41" s="43" t="s">
        <v>71</v>
      </c>
      <c r="E41" s="157">
        <f>E38/BH38</f>
        <v>1.5057627358162132E-2</v>
      </c>
      <c r="F41" s="185"/>
      <c r="G41" s="185"/>
      <c r="H41" s="186"/>
      <c r="I41" s="157">
        <f>I38/BH38</f>
        <v>1.1543325913412197E-2</v>
      </c>
      <c r="J41" s="185"/>
      <c r="K41" s="185"/>
      <c r="L41" s="185"/>
      <c r="M41" s="186"/>
      <c r="N41" s="157">
        <f>N38/BH38</f>
        <v>2.488228030224407E-2</v>
      </c>
      <c r="O41" s="185"/>
      <c r="P41" s="185"/>
      <c r="Q41" s="185"/>
      <c r="R41" s="186"/>
      <c r="S41" s="157">
        <f>S38/BH38</f>
        <v>7.6442469382151892E-2</v>
      </c>
      <c r="T41" s="185"/>
      <c r="U41" s="185"/>
      <c r="V41" s="185"/>
      <c r="W41" s="186"/>
      <c r="X41" s="157">
        <f>X38/BH38</f>
        <v>0.11244129062177043</v>
      </c>
      <c r="Y41" s="185"/>
      <c r="Z41" s="185"/>
      <c r="AA41" s="186"/>
      <c r="AB41" s="157">
        <f>AB38/BH38</f>
        <v>0.19783439335277722</v>
      </c>
      <c r="AC41" s="185"/>
      <c r="AD41" s="185"/>
      <c r="AE41" s="186"/>
      <c r="AF41" s="157">
        <f>AF38/BH38</f>
        <v>0.17215100623214238</v>
      </c>
      <c r="AG41" s="185"/>
      <c r="AH41" s="185"/>
      <c r="AI41" s="186"/>
      <c r="AJ41" s="157">
        <f>AJ38/BH38</f>
        <v>7.292816793740195E-2</v>
      </c>
      <c r="AK41" s="185"/>
      <c r="AL41" s="185"/>
      <c r="AM41" s="185"/>
      <c r="AN41" s="186"/>
      <c r="AO41" s="158">
        <f>(AO38+AP38)/BH38</f>
        <v>0.13474909116256509</v>
      </c>
      <c r="AP41" s="185"/>
      <c r="AQ41" s="185"/>
      <c r="AR41" s="185"/>
      <c r="AS41" s="186"/>
      <c r="AT41" s="157">
        <f>AT38/BH38</f>
        <v>5.0636723006834854E-2</v>
      </c>
      <c r="AU41" s="185"/>
      <c r="AV41" s="185"/>
      <c r="AW41" s="185"/>
      <c r="AX41" s="186"/>
      <c r="AY41" s="158">
        <f>(AY38+AZ38)/BH38</f>
        <v>0.10911008171710844</v>
      </c>
      <c r="AZ41" s="185"/>
      <c r="BA41" s="185"/>
      <c r="BB41" s="186"/>
      <c r="BC41" s="157">
        <f>BC38/BH38</f>
        <v>1.831541044928069E-2</v>
      </c>
      <c r="BD41" s="185"/>
      <c r="BE41" s="185"/>
      <c r="BF41" s="186"/>
      <c r="BG41" s="59"/>
      <c r="BH41" s="61"/>
    </row>
    <row r="42" spans="1:101" ht="18.95" thickBot="1">
      <c r="D42" s="43" t="s">
        <v>72</v>
      </c>
      <c r="E42" s="157">
        <v>1.7223336429094124E-2</v>
      </c>
      <c r="F42" s="185"/>
      <c r="G42" s="185"/>
      <c r="H42" s="186"/>
      <c r="I42" s="157">
        <v>1.4829340752498147E-2</v>
      </c>
      <c r="J42" s="185"/>
      <c r="K42" s="185"/>
      <c r="L42" s="185"/>
      <c r="M42" s="186"/>
      <c r="N42" s="157">
        <v>2.4822850934738024E-2</v>
      </c>
      <c r="O42" s="185"/>
      <c r="P42" s="185"/>
      <c r="Q42" s="185"/>
      <c r="R42" s="186"/>
      <c r="S42" s="157">
        <v>8.6761901128881838E-2</v>
      </c>
      <c r="T42" s="185"/>
      <c r="U42" s="185"/>
      <c r="V42" s="185"/>
      <c r="W42" s="186"/>
      <c r="X42" s="157">
        <v>7.2005302699901921E-2</v>
      </c>
      <c r="Y42" s="185"/>
      <c r="Z42" s="185"/>
      <c r="AA42" s="186"/>
      <c r="AB42" s="157">
        <v>0.18723959901392867</v>
      </c>
      <c r="AC42" s="185"/>
      <c r="AD42" s="185"/>
      <c r="AE42" s="186"/>
      <c r="AF42" s="157">
        <v>0.20264437735506727</v>
      </c>
      <c r="AG42" s="185"/>
      <c r="AH42" s="185"/>
      <c r="AI42" s="186"/>
      <c r="AJ42" s="157">
        <v>8.4170371069241828E-2</v>
      </c>
      <c r="AK42" s="185"/>
      <c r="AL42" s="185"/>
      <c r="AM42" s="185"/>
      <c r="AN42" s="186"/>
      <c r="AO42" s="158">
        <v>0.15440848975151683</v>
      </c>
      <c r="AP42" s="185"/>
      <c r="AQ42" s="185"/>
      <c r="AR42" s="185"/>
      <c r="AS42" s="186"/>
      <c r="AT42" s="157">
        <v>4.3436316018896054E-2</v>
      </c>
      <c r="AU42" s="185"/>
      <c r="AV42" s="185"/>
      <c r="AW42" s="185"/>
      <c r="AX42" s="186"/>
      <c r="AY42" s="158">
        <v>7.2928595937034907E-2</v>
      </c>
      <c r="AZ42" s="185"/>
      <c r="BA42" s="185"/>
      <c r="BB42" s="186"/>
      <c r="BC42" s="157">
        <v>3.9529518909200402E-2</v>
      </c>
      <c r="BD42" s="185"/>
      <c r="BE42" s="185"/>
      <c r="BF42" s="186"/>
    </row>
    <row r="45" spans="1:101" ht="18.95" hidden="1" thickBot="1">
      <c r="D45" s="72" t="s">
        <v>60</v>
      </c>
      <c r="E45" s="203">
        <v>0</v>
      </c>
      <c r="F45" s="204"/>
      <c r="G45" s="204"/>
      <c r="H45" s="205"/>
      <c r="I45" s="206">
        <v>0</v>
      </c>
      <c r="J45" s="207"/>
      <c r="K45" s="207"/>
      <c r="L45" s="207"/>
      <c r="M45" s="208"/>
      <c r="N45" s="203">
        <v>0</v>
      </c>
      <c r="O45" s="204"/>
      <c r="P45" s="204"/>
      <c r="Q45" s="204"/>
      <c r="R45" s="205"/>
      <c r="S45" s="203">
        <v>0</v>
      </c>
      <c r="T45" s="204"/>
      <c r="U45" s="204"/>
      <c r="V45" s="204"/>
      <c r="W45" s="205"/>
      <c r="X45" s="203">
        <v>10600</v>
      </c>
      <c r="Y45" s="204"/>
      <c r="Z45" s="204"/>
      <c r="AA45" s="205"/>
      <c r="AB45" s="203">
        <v>21200</v>
      </c>
      <c r="AC45" s="204"/>
      <c r="AD45" s="204"/>
      <c r="AE45" s="205"/>
      <c r="AF45" s="203">
        <v>21200</v>
      </c>
      <c r="AG45" s="204"/>
      <c r="AH45" s="204"/>
      <c r="AI45" s="205"/>
      <c r="AJ45" s="203">
        <v>14800</v>
      </c>
      <c r="AK45" s="204"/>
      <c r="AL45" s="204"/>
      <c r="AM45" s="204"/>
      <c r="AN45" s="205"/>
      <c r="AO45" s="68"/>
      <c r="AP45" s="203">
        <v>17000</v>
      </c>
      <c r="AQ45" s="204"/>
      <c r="AR45" s="204"/>
      <c r="AS45" s="205"/>
      <c r="AT45" s="203">
        <v>8500</v>
      </c>
      <c r="AU45" s="204"/>
      <c r="AV45" s="204"/>
      <c r="AW45" s="204"/>
      <c r="AX45" s="205"/>
      <c r="AY45" s="68">
        <v>0</v>
      </c>
      <c r="AZ45" s="203">
        <v>6400</v>
      </c>
      <c r="BA45" s="204"/>
      <c r="BB45" s="205"/>
      <c r="BC45" s="203">
        <v>6400</v>
      </c>
      <c r="BD45" s="204"/>
      <c r="BE45" s="204"/>
      <c r="BF45" s="205"/>
      <c r="BG45" s="69"/>
      <c r="BH45" s="71">
        <f>E45+I45+N45+S45+X45+AB45+AF45+AJ45+AO45+AP45+AT45+AZ45+BC45</f>
        <v>106100</v>
      </c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</row>
    <row r="46" spans="1:101" ht="15.75" customHeight="1" thickBot="1"/>
    <row r="47" spans="1:101" ht="18.95" thickBot="1">
      <c r="D47" s="43" t="s">
        <v>73</v>
      </c>
      <c r="E47" s="145">
        <v>0</v>
      </c>
      <c r="F47" s="185"/>
      <c r="G47" s="185"/>
      <c r="H47" s="186"/>
      <c r="I47" s="145">
        <v>0</v>
      </c>
      <c r="J47" s="185"/>
      <c r="K47" s="185"/>
      <c r="L47" s="185"/>
      <c r="M47" s="186"/>
      <c r="N47" s="155">
        <v>0</v>
      </c>
      <c r="O47" s="145"/>
      <c r="P47" s="145"/>
      <c r="Q47" s="145"/>
      <c r="R47" s="156"/>
      <c r="S47" s="155">
        <v>25000</v>
      </c>
      <c r="T47" s="185"/>
      <c r="U47" s="185"/>
      <c r="V47" s="185"/>
      <c r="W47" s="186"/>
      <c r="X47" s="145">
        <v>0</v>
      </c>
      <c r="Y47" s="185"/>
      <c r="Z47" s="185"/>
      <c r="AA47" s="186"/>
      <c r="AB47" s="145">
        <v>0</v>
      </c>
      <c r="AC47" s="185"/>
      <c r="AD47" s="185"/>
      <c r="AE47" s="186"/>
      <c r="AF47" s="145">
        <v>80000</v>
      </c>
      <c r="AG47" s="185"/>
      <c r="AH47" s="185"/>
      <c r="AI47" s="186"/>
      <c r="AJ47" s="145">
        <v>27000</v>
      </c>
      <c r="AK47" s="185"/>
      <c r="AL47" s="185"/>
      <c r="AM47" s="185"/>
      <c r="AN47" s="186"/>
      <c r="AO47" s="58"/>
      <c r="AP47" s="145">
        <v>0</v>
      </c>
      <c r="AQ47" s="185"/>
      <c r="AR47" s="185"/>
      <c r="AS47" s="186"/>
      <c r="AT47" s="145">
        <v>0</v>
      </c>
      <c r="AU47" s="185"/>
      <c r="AV47" s="185"/>
      <c r="AW47" s="185"/>
      <c r="AX47" s="186"/>
      <c r="AY47" s="58"/>
      <c r="AZ47" s="145">
        <v>0</v>
      </c>
      <c r="BA47" s="185"/>
      <c r="BB47" s="186"/>
      <c r="BC47" s="145">
        <v>0</v>
      </c>
      <c r="BD47" s="185"/>
      <c r="BE47" s="185"/>
      <c r="BF47" s="186"/>
      <c r="BH47" s="28">
        <f>S47+AF47+AJ47</f>
        <v>132000</v>
      </c>
    </row>
    <row r="48" spans="1:101" ht="14.1" thickBot="1">
      <c r="R48" s="73"/>
      <c r="S48" s="146" t="s">
        <v>74</v>
      </c>
      <c r="T48" s="185"/>
      <c r="U48" s="185"/>
      <c r="V48" s="185"/>
      <c r="W48" s="186"/>
      <c r="AF48" s="147" t="s">
        <v>75</v>
      </c>
      <c r="AG48" s="148"/>
      <c r="AH48" s="148"/>
      <c r="AI48" s="149"/>
      <c r="AJ48" s="150" t="s">
        <v>76</v>
      </c>
      <c r="AK48" s="151"/>
      <c r="AL48" s="151"/>
      <c r="AM48" s="151"/>
      <c r="AN48" s="152"/>
      <c r="AZ48" s="153" t="s">
        <v>77</v>
      </c>
      <c r="BA48" s="185"/>
      <c r="BB48" s="186"/>
    </row>
    <row r="49" spans="4:98" ht="14.1" thickBot="1">
      <c r="AH49" s="136" t="s">
        <v>78</v>
      </c>
      <c r="AI49" s="137"/>
      <c r="AJ49" s="137"/>
      <c r="AK49" s="137"/>
      <c r="AL49" s="138"/>
    </row>
    <row r="50" spans="4:98" ht="14.1" thickBot="1">
      <c r="AH50" s="139" t="s">
        <v>79</v>
      </c>
      <c r="AI50" s="140"/>
      <c r="AJ50" s="140"/>
      <c r="AK50" s="140"/>
      <c r="AL50" s="141"/>
    </row>
    <row r="51" spans="4:98" ht="18">
      <c r="D51" s="183" t="s">
        <v>80</v>
      </c>
      <c r="E51" s="18"/>
      <c r="F51" s="18"/>
      <c r="G51" s="18"/>
      <c r="H51" s="18"/>
    </row>
    <row r="52" spans="4:98" ht="14.1" thickBot="1">
      <c r="D52" s="222"/>
      <c r="E52" s="142">
        <v>8.8249999999999995E-2</v>
      </c>
      <c r="F52" s="143"/>
      <c r="G52" s="143"/>
      <c r="H52" s="143"/>
      <c r="I52" s="134">
        <v>8.8249999999999995E-2</v>
      </c>
      <c r="J52" s="134"/>
      <c r="K52" s="134"/>
      <c r="L52" s="134"/>
      <c r="M52" s="134"/>
      <c r="N52" s="134">
        <v>8.8249999999999995E-2</v>
      </c>
      <c r="O52" s="134"/>
      <c r="P52" s="134"/>
      <c r="Q52" s="134"/>
      <c r="R52" s="134"/>
      <c r="S52" s="134">
        <v>8.8249999999999995E-2</v>
      </c>
      <c r="T52" s="134"/>
      <c r="U52" s="134"/>
      <c r="V52" s="134"/>
      <c r="W52" s="134"/>
      <c r="X52" s="144">
        <v>8.8249999999999995E-2</v>
      </c>
      <c r="Y52" s="144"/>
      <c r="Z52" s="144"/>
      <c r="AA52" s="144"/>
      <c r="AB52" s="135">
        <v>8.8249999999999995E-2</v>
      </c>
      <c r="AC52" s="135"/>
      <c r="AD52" s="135"/>
      <c r="AE52" s="135"/>
      <c r="AF52" s="135">
        <v>8.8249999999999995E-2</v>
      </c>
      <c r="AG52" s="135"/>
      <c r="AH52" s="135"/>
      <c r="AI52" s="135"/>
      <c r="AJ52" s="134">
        <v>8.8249999999999995E-2</v>
      </c>
      <c r="AK52" s="134"/>
      <c r="AL52" s="134"/>
      <c r="AM52" s="134"/>
      <c r="AN52" s="134"/>
      <c r="AO52" s="134">
        <v>8.8249999999999995E-2</v>
      </c>
      <c r="AP52" s="134"/>
      <c r="AQ52" s="134"/>
      <c r="AR52" s="134"/>
      <c r="AS52" s="134"/>
      <c r="AT52" s="134">
        <v>8.8249999999999995E-2</v>
      </c>
      <c r="AU52" s="134"/>
      <c r="AV52" s="134"/>
      <c r="AW52" s="134"/>
      <c r="AX52" s="134"/>
      <c r="AY52" s="135">
        <v>8.8249999999999995E-2</v>
      </c>
      <c r="AZ52" s="135"/>
      <c r="BA52" s="135"/>
      <c r="BB52" s="135"/>
      <c r="BC52" s="135">
        <v>8.8249999999999995E-2</v>
      </c>
      <c r="BD52" s="135"/>
      <c r="BE52" s="135"/>
      <c r="BF52" s="135"/>
    </row>
    <row r="53" spans="4:98" ht="15" thickBot="1">
      <c r="D53" s="52" t="s">
        <v>81</v>
      </c>
      <c r="E53" s="192">
        <f>0.08825*E38</f>
        <v>4760.2527027027018</v>
      </c>
      <c r="F53" s="185"/>
      <c r="G53" s="185"/>
      <c r="H53" s="186"/>
      <c r="I53" s="192">
        <f>0.08825*I38</f>
        <v>3649.2567567567562</v>
      </c>
      <c r="J53" s="185"/>
      <c r="K53" s="185"/>
      <c r="L53" s="185"/>
      <c r="M53" s="186"/>
      <c r="N53" s="192">
        <f>N38*N52</f>
        <v>7866.175675675674</v>
      </c>
      <c r="O53" s="185"/>
      <c r="P53" s="185"/>
      <c r="Q53" s="185"/>
      <c r="R53" s="186"/>
      <c r="S53" s="192">
        <f>S38*S52</f>
        <v>24166.189189189186</v>
      </c>
      <c r="T53" s="185"/>
      <c r="U53" s="185"/>
      <c r="V53" s="185"/>
      <c r="W53" s="186"/>
      <c r="X53" s="223">
        <f>X52*X38</f>
        <v>35546.699678918922</v>
      </c>
      <c r="Y53" s="215"/>
      <c r="Z53" s="215"/>
      <c r="AA53" s="224"/>
      <c r="AB53" s="192">
        <f>AB38*AB52</f>
        <v>62542.503094594584</v>
      </c>
      <c r="AC53" s="185"/>
      <c r="AD53" s="185"/>
      <c r="AE53" s="186"/>
      <c r="AF53" s="192">
        <f>AF38*AF52</f>
        <v>54423.068999999996</v>
      </c>
      <c r="AG53" s="185"/>
      <c r="AH53" s="185"/>
      <c r="AI53" s="186"/>
      <c r="AJ53" s="192">
        <f>AJ52*AJ38</f>
        <v>23055.19324324324</v>
      </c>
      <c r="AK53" s="185"/>
      <c r="AL53" s="185"/>
      <c r="AM53" s="185"/>
      <c r="AN53" s="186"/>
      <c r="AO53" s="192">
        <f>(AO38+AP38)*AO52</f>
        <v>42598.990540540544</v>
      </c>
      <c r="AP53" s="185"/>
      <c r="AQ53" s="185"/>
      <c r="AR53" s="185"/>
      <c r="AS53" s="186"/>
      <c r="AT53" s="192">
        <f>AT38*AT52</f>
        <v>16008.072972972974</v>
      </c>
      <c r="AU53" s="185"/>
      <c r="AV53" s="185"/>
      <c r="AW53" s="185"/>
      <c r="AX53" s="186"/>
      <c r="AY53" s="192">
        <f>(AZ38+AY38)*0.08825</f>
        <v>34493.585810810815</v>
      </c>
      <c r="AZ53" s="185"/>
      <c r="BA53" s="185"/>
      <c r="BB53" s="186"/>
      <c r="BC53" s="192">
        <f>BC36*BC52</f>
        <v>5790.1540540540536</v>
      </c>
      <c r="BD53" s="185"/>
      <c r="BE53" s="185"/>
      <c r="BF53" s="186"/>
      <c r="BH53" s="81">
        <f t="shared" ref="BH53:BH60" si="6">BC53+AZ53+AY53+AT53+AP53+AO53+AJ53+AF53+AB53+X53+S53+N53+I53+E53</f>
        <v>314900.14271945943</v>
      </c>
      <c r="BI53" s="84">
        <f>BH53/$BH$61</f>
        <v>0.32222657196502319</v>
      </c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</row>
    <row r="54" spans="4:98" ht="15" thickBot="1">
      <c r="D54" s="52" t="s">
        <v>82</v>
      </c>
      <c r="E54" s="192">
        <v>0</v>
      </c>
      <c r="F54" s="198"/>
      <c r="G54" s="198"/>
      <c r="H54" s="199"/>
      <c r="I54" s="192">
        <v>0</v>
      </c>
      <c r="J54" s="185"/>
      <c r="K54" s="185"/>
      <c r="L54" s="185"/>
      <c r="M54" s="186"/>
      <c r="N54" s="192">
        <v>10000</v>
      </c>
      <c r="O54" s="185"/>
      <c r="P54" s="185"/>
      <c r="Q54" s="185"/>
      <c r="R54" s="186"/>
      <c r="S54" s="192">
        <v>15000</v>
      </c>
      <c r="T54" s="185"/>
      <c r="U54" s="185"/>
      <c r="V54" s="185"/>
      <c r="W54" s="186"/>
      <c r="X54" s="192">
        <v>10000</v>
      </c>
      <c r="Y54" s="185"/>
      <c r="Z54" s="185"/>
      <c r="AA54" s="186"/>
      <c r="AB54" s="192">
        <v>10000</v>
      </c>
      <c r="AC54" s="185"/>
      <c r="AD54" s="185"/>
      <c r="AE54" s="186"/>
      <c r="AF54" s="192">
        <v>10000</v>
      </c>
      <c r="AG54" s="185"/>
      <c r="AH54" s="185"/>
      <c r="AI54" s="186"/>
      <c r="AJ54" s="192">
        <v>0</v>
      </c>
      <c r="AK54" s="185"/>
      <c r="AL54" s="185"/>
      <c r="AM54" s="185"/>
      <c r="AN54" s="186"/>
      <c r="AO54" s="192">
        <v>15000</v>
      </c>
      <c r="AP54" s="185"/>
      <c r="AQ54" s="185"/>
      <c r="AR54" s="185"/>
      <c r="AS54" s="186"/>
      <c r="AT54" s="192">
        <v>0</v>
      </c>
      <c r="AU54" s="185"/>
      <c r="AV54" s="185"/>
      <c r="AW54" s="185"/>
      <c r="AX54" s="186"/>
      <c r="AY54" s="192">
        <v>105000</v>
      </c>
      <c r="AZ54" s="185"/>
      <c r="BA54" s="185"/>
      <c r="BB54" s="186"/>
      <c r="BC54" s="192">
        <v>0</v>
      </c>
      <c r="BD54" s="185"/>
      <c r="BE54" s="185"/>
      <c r="BF54" s="186"/>
      <c r="BH54" s="81">
        <f t="shared" si="6"/>
        <v>175000</v>
      </c>
      <c r="BI54" s="83">
        <f t="shared" ref="BI54:BI61" si="7">BH54/$BH$61</f>
        <v>0.17907152917398289</v>
      </c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22"/>
      <c r="CL54" s="194">
        <v>216675</v>
      </c>
      <c r="CM54" s="194"/>
      <c r="CN54" s="194">
        <v>18325</v>
      </c>
      <c r="CO54" s="30">
        <v>8.4573670243452179E-2</v>
      </c>
      <c r="CP54" s="22"/>
      <c r="CQ54" s="194">
        <v>185000</v>
      </c>
      <c r="CR54" s="22"/>
      <c r="CS54" s="22"/>
      <c r="CT54" s="22"/>
    </row>
    <row r="55" spans="4:98" ht="15" thickBot="1">
      <c r="D55" s="26" t="s">
        <v>83</v>
      </c>
      <c r="E55" s="192">
        <v>0</v>
      </c>
      <c r="F55" s="198"/>
      <c r="G55" s="198"/>
      <c r="H55" s="199"/>
      <c r="I55" s="192">
        <v>0</v>
      </c>
      <c r="J55" s="185"/>
      <c r="K55" s="185"/>
      <c r="L55" s="185"/>
      <c r="M55" s="186"/>
      <c r="N55" s="192">
        <v>0</v>
      </c>
      <c r="O55" s="185"/>
      <c r="P55" s="185"/>
      <c r="Q55" s="185"/>
      <c r="R55" s="186"/>
      <c r="S55" s="192">
        <v>5000</v>
      </c>
      <c r="T55" s="185"/>
      <c r="U55" s="185"/>
      <c r="V55" s="185"/>
      <c r="W55" s="186"/>
      <c r="X55" s="192">
        <v>0</v>
      </c>
      <c r="Y55" s="185"/>
      <c r="Z55" s="185"/>
      <c r="AA55" s="186"/>
      <c r="AB55" s="192">
        <v>6000</v>
      </c>
      <c r="AC55" s="185"/>
      <c r="AD55" s="185"/>
      <c r="AE55" s="186"/>
      <c r="AF55" s="192">
        <v>8000</v>
      </c>
      <c r="AG55" s="185"/>
      <c r="AH55" s="185"/>
      <c r="AI55" s="186"/>
      <c r="AJ55" s="192">
        <v>0</v>
      </c>
      <c r="AK55" s="185"/>
      <c r="AL55" s="185"/>
      <c r="AM55" s="185"/>
      <c r="AN55" s="186"/>
      <c r="AO55" s="192">
        <v>7000</v>
      </c>
      <c r="AP55" s="185"/>
      <c r="AQ55" s="185"/>
      <c r="AR55" s="185"/>
      <c r="AS55" s="186"/>
      <c r="AT55" s="192">
        <v>3000</v>
      </c>
      <c r="AU55" s="185"/>
      <c r="AV55" s="185"/>
      <c r="AW55" s="185"/>
      <c r="AX55" s="186"/>
      <c r="AY55" s="192">
        <v>0</v>
      </c>
      <c r="AZ55" s="185"/>
      <c r="BA55" s="185"/>
      <c r="BB55" s="186"/>
      <c r="BC55" s="192">
        <v>0</v>
      </c>
      <c r="BD55" s="185"/>
      <c r="BE55" s="185"/>
      <c r="BF55" s="186"/>
      <c r="BH55" s="81">
        <f t="shared" si="6"/>
        <v>29000</v>
      </c>
      <c r="BI55" s="83">
        <f t="shared" si="7"/>
        <v>2.9674710548831452E-2</v>
      </c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22"/>
      <c r="CL55" s="194">
        <v>32375</v>
      </c>
      <c r="CM55" s="194"/>
      <c r="CN55" s="194">
        <v>-3375</v>
      </c>
      <c r="CO55" s="30">
        <v>-0.10424710424710425</v>
      </c>
      <c r="CP55" s="22"/>
      <c r="CQ55" s="194">
        <v>30000</v>
      </c>
      <c r="CR55" s="22"/>
      <c r="CS55" s="22"/>
      <c r="CT55" s="22"/>
    </row>
    <row r="56" spans="4:98" ht="15" thickBot="1">
      <c r="D56" s="26" t="s">
        <v>84</v>
      </c>
      <c r="E56" s="192">
        <v>15000</v>
      </c>
      <c r="F56" s="198"/>
      <c r="G56" s="198"/>
      <c r="H56" s="199"/>
      <c r="I56" s="192">
        <v>0</v>
      </c>
      <c r="J56" s="185"/>
      <c r="K56" s="185"/>
      <c r="L56" s="185"/>
      <c r="M56" s="186"/>
      <c r="N56" s="192">
        <v>0</v>
      </c>
      <c r="O56" s="185"/>
      <c r="P56" s="185"/>
      <c r="Q56" s="185"/>
      <c r="R56" s="186"/>
      <c r="S56" s="192">
        <v>2300</v>
      </c>
      <c r="T56" s="185"/>
      <c r="U56" s="185"/>
      <c r="V56" s="185"/>
      <c r="W56" s="186"/>
      <c r="X56" s="192">
        <v>0</v>
      </c>
      <c r="Y56" s="185"/>
      <c r="Z56" s="185"/>
      <c r="AA56" s="186"/>
      <c r="AB56" s="192">
        <v>0</v>
      </c>
      <c r="AC56" s="185"/>
      <c r="AD56" s="185"/>
      <c r="AE56" s="186"/>
      <c r="AF56" s="192">
        <v>0</v>
      </c>
      <c r="AG56" s="185"/>
      <c r="AH56" s="185"/>
      <c r="AI56" s="186"/>
      <c r="AJ56" s="192">
        <v>0</v>
      </c>
      <c r="AK56" s="185"/>
      <c r="AL56" s="185"/>
      <c r="AM56" s="185"/>
      <c r="AN56" s="186"/>
      <c r="AO56" s="192">
        <v>5000</v>
      </c>
      <c r="AP56" s="185"/>
      <c r="AQ56" s="185"/>
      <c r="AR56" s="185"/>
      <c r="AS56" s="186"/>
      <c r="AT56" s="192">
        <v>0</v>
      </c>
      <c r="AU56" s="185"/>
      <c r="AV56" s="185"/>
      <c r="AW56" s="185"/>
      <c r="AX56" s="186"/>
      <c r="AY56" s="192">
        <v>75000</v>
      </c>
      <c r="AZ56" s="185"/>
      <c r="BA56" s="185"/>
      <c r="BB56" s="186"/>
      <c r="BC56" s="192">
        <v>0</v>
      </c>
      <c r="BD56" s="185"/>
      <c r="BE56" s="185"/>
      <c r="BF56" s="186"/>
      <c r="BH56" s="81">
        <f t="shared" si="6"/>
        <v>97300</v>
      </c>
      <c r="BI56" s="83">
        <f t="shared" si="7"/>
        <v>9.9563770220734496E-2</v>
      </c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22"/>
      <c r="CL56" s="194">
        <v>96390</v>
      </c>
      <c r="CM56" s="194"/>
      <c r="CN56" s="194">
        <v>910</v>
      </c>
      <c r="CO56" s="30">
        <v>9.44081336238199E-3</v>
      </c>
      <c r="CP56" s="22"/>
      <c r="CQ56" s="194">
        <v>100000</v>
      </c>
      <c r="CR56" s="22"/>
      <c r="CS56" s="22"/>
      <c r="CT56" s="22"/>
    </row>
    <row r="57" spans="4:98" ht="15" thickBot="1">
      <c r="D57" s="26" t="s">
        <v>85</v>
      </c>
      <c r="E57" s="192">
        <v>23000</v>
      </c>
      <c r="F57" s="198"/>
      <c r="G57" s="198"/>
      <c r="H57" s="199"/>
      <c r="I57" s="192">
        <v>0</v>
      </c>
      <c r="J57" s="185"/>
      <c r="K57" s="185"/>
      <c r="L57" s="185"/>
      <c r="M57" s="186"/>
      <c r="N57" s="192">
        <v>0</v>
      </c>
      <c r="O57" s="185"/>
      <c r="P57" s="185"/>
      <c r="Q57" s="185"/>
      <c r="R57" s="186"/>
      <c r="S57" s="192">
        <v>3846.68</v>
      </c>
      <c r="T57" s="185"/>
      <c r="U57" s="185"/>
      <c r="V57" s="185"/>
      <c r="W57" s="186"/>
      <c r="X57" s="192">
        <v>50000</v>
      </c>
      <c r="Y57" s="185"/>
      <c r="Z57" s="185"/>
      <c r="AA57" s="186"/>
      <c r="AB57" s="192">
        <v>0</v>
      </c>
      <c r="AC57" s="185"/>
      <c r="AD57" s="185"/>
      <c r="AE57" s="186"/>
      <c r="AF57" s="192">
        <v>0</v>
      </c>
      <c r="AG57" s="185"/>
      <c r="AH57" s="185"/>
      <c r="AI57" s="186"/>
      <c r="AJ57" s="192">
        <v>3846.68</v>
      </c>
      <c r="AK57" s="185"/>
      <c r="AL57" s="185"/>
      <c r="AM57" s="185"/>
      <c r="AN57" s="186"/>
      <c r="AO57" s="228">
        <v>5000</v>
      </c>
      <c r="AP57" s="210"/>
      <c r="AQ57" s="210"/>
      <c r="AR57" s="210"/>
      <c r="AS57" s="210"/>
      <c r="AT57" s="192">
        <v>0</v>
      </c>
      <c r="AU57" s="185"/>
      <c r="AV57" s="185"/>
      <c r="AW57" s="185"/>
      <c r="AX57" s="186"/>
      <c r="AY57" s="192">
        <v>5000</v>
      </c>
      <c r="AZ57" s="185"/>
      <c r="BA57" s="185"/>
      <c r="BB57" s="186"/>
      <c r="BC57" s="192">
        <v>0</v>
      </c>
      <c r="BD57" s="185"/>
      <c r="BE57" s="185"/>
      <c r="BF57" s="186"/>
      <c r="BH57" s="81">
        <f t="shared" si="6"/>
        <v>90693.36</v>
      </c>
      <c r="BI57" s="83">
        <f t="shared" si="7"/>
        <v>9.2803420920723051E-2</v>
      </c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22"/>
      <c r="CL57" s="194">
        <v>74997.83</v>
      </c>
      <c r="CM57" s="194"/>
      <c r="CN57" s="194">
        <v>15695.529999999984</v>
      </c>
      <c r="CO57" s="30">
        <v>0.20927978849521359</v>
      </c>
      <c r="CP57" s="22"/>
      <c r="CQ57" s="194">
        <v>110000</v>
      </c>
      <c r="CR57" s="22"/>
      <c r="CS57" s="22"/>
      <c r="CT57" s="22"/>
    </row>
    <row r="58" spans="4:98" ht="15" thickBot="1">
      <c r="D58" s="26" t="s">
        <v>86</v>
      </c>
      <c r="E58" s="192">
        <v>0</v>
      </c>
      <c r="F58" s="198"/>
      <c r="G58" s="198"/>
      <c r="H58" s="199"/>
      <c r="I58" s="192">
        <v>0</v>
      </c>
      <c r="J58" s="185"/>
      <c r="K58" s="185"/>
      <c r="L58" s="185"/>
      <c r="M58" s="186"/>
      <c r="N58" s="192">
        <v>0</v>
      </c>
      <c r="O58" s="185"/>
      <c r="P58" s="185"/>
      <c r="Q58" s="185"/>
      <c r="R58" s="186"/>
      <c r="S58" s="192">
        <v>0</v>
      </c>
      <c r="T58" s="185"/>
      <c r="U58" s="185"/>
      <c r="V58" s="185"/>
      <c r="W58" s="186"/>
      <c r="X58" s="192">
        <v>0</v>
      </c>
      <c r="Y58" s="185"/>
      <c r="Z58" s="185"/>
      <c r="AA58" s="186"/>
      <c r="AB58" s="192">
        <v>3271.46</v>
      </c>
      <c r="AC58" s="185"/>
      <c r="AD58" s="185"/>
      <c r="AE58" s="186"/>
      <c r="AF58" s="192">
        <v>9061.1299999999992</v>
      </c>
      <c r="AG58" s="185"/>
      <c r="AH58" s="185"/>
      <c r="AI58" s="186"/>
      <c r="AJ58" s="192">
        <v>0</v>
      </c>
      <c r="AK58" s="185"/>
      <c r="AL58" s="185"/>
      <c r="AM58" s="185"/>
      <c r="AN58" s="186"/>
      <c r="AO58" s="192">
        <v>4235.8900000000003</v>
      </c>
      <c r="AP58" s="185"/>
      <c r="AQ58" s="185"/>
      <c r="AR58" s="185"/>
      <c r="AS58" s="186"/>
      <c r="AT58" s="192">
        <v>1576.01</v>
      </c>
      <c r="AU58" s="185"/>
      <c r="AV58" s="185"/>
      <c r="AW58" s="185"/>
      <c r="AX58" s="186"/>
      <c r="AY58" s="192">
        <v>503.32</v>
      </c>
      <c r="AZ58" s="185"/>
      <c r="BA58" s="185"/>
      <c r="BB58" s="186"/>
      <c r="BC58" s="192">
        <v>0</v>
      </c>
      <c r="BD58" s="185"/>
      <c r="BE58" s="185"/>
      <c r="BF58" s="186"/>
      <c r="BH58" s="81">
        <f t="shared" si="6"/>
        <v>18647.809999999998</v>
      </c>
      <c r="BI58" s="85">
        <f t="shared" si="7"/>
        <v>1.9081667728262225E-2</v>
      </c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22"/>
      <c r="CL58" s="194">
        <v>21320.1</v>
      </c>
      <c r="CM58" s="194"/>
      <c r="CN58" s="194">
        <v>-2672.2900000000009</v>
      </c>
      <c r="CO58" s="30">
        <v>-0.12534134455279294</v>
      </c>
      <c r="CP58" s="22"/>
      <c r="CQ58" s="194">
        <v>25000</v>
      </c>
      <c r="CR58" s="22"/>
      <c r="CS58" s="22"/>
      <c r="CT58" s="22"/>
    </row>
    <row r="59" spans="4:98" ht="15" thickBot="1">
      <c r="D59" s="26" t="s">
        <v>87</v>
      </c>
      <c r="E59" s="192">
        <v>0</v>
      </c>
      <c r="F59" s="198"/>
      <c r="G59" s="198"/>
      <c r="H59" s="199"/>
      <c r="I59" s="192">
        <v>0</v>
      </c>
      <c r="J59" s="185"/>
      <c r="K59" s="185"/>
      <c r="L59" s="185"/>
      <c r="M59" s="186"/>
      <c r="N59" s="192">
        <v>0</v>
      </c>
      <c r="O59" s="185"/>
      <c r="P59" s="185"/>
      <c r="Q59" s="185"/>
      <c r="R59" s="186"/>
      <c r="S59" s="192">
        <v>750</v>
      </c>
      <c r="T59" s="185"/>
      <c r="U59" s="185"/>
      <c r="V59" s="185"/>
      <c r="W59" s="186"/>
      <c r="X59" s="192">
        <v>1000</v>
      </c>
      <c r="Y59" s="185"/>
      <c r="Z59" s="185"/>
      <c r="AA59" s="186"/>
      <c r="AB59" s="192">
        <v>1500</v>
      </c>
      <c r="AC59" s="185"/>
      <c r="AD59" s="185"/>
      <c r="AE59" s="186"/>
      <c r="AF59" s="192">
        <v>3500</v>
      </c>
      <c r="AG59" s="185"/>
      <c r="AH59" s="185"/>
      <c r="AI59" s="186"/>
      <c r="AJ59" s="192">
        <v>1000</v>
      </c>
      <c r="AK59" s="185"/>
      <c r="AL59" s="185"/>
      <c r="AM59" s="185"/>
      <c r="AN59" s="186"/>
      <c r="AO59" s="192">
        <v>3500</v>
      </c>
      <c r="AP59" s="185"/>
      <c r="AQ59" s="185"/>
      <c r="AR59" s="185"/>
      <c r="AS59" s="186"/>
      <c r="AT59" s="192">
        <v>0</v>
      </c>
      <c r="AU59" s="185"/>
      <c r="AV59" s="185"/>
      <c r="AW59" s="185"/>
      <c r="AX59" s="186"/>
      <c r="AY59" s="192">
        <v>1700</v>
      </c>
      <c r="AZ59" s="185"/>
      <c r="BA59" s="185"/>
      <c r="BB59" s="186"/>
      <c r="BC59" s="192">
        <v>0</v>
      </c>
      <c r="BD59" s="185"/>
      <c r="BE59" s="185"/>
      <c r="BF59" s="186"/>
      <c r="BH59" s="81">
        <f t="shared" si="6"/>
        <v>12950</v>
      </c>
      <c r="BI59" s="84">
        <f t="shared" si="7"/>
        <v>1.3251293158874734E-2</v>
      </c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22"/>
      <c r="CL59" s="194">
        <v>12741.55</v>
      </c>
      <c r="CM59" s="194"/>
      <c r="CN59" s="194">
        <v>208.45000000000073</v>
      </c>
      <c r="CO59" s="30">
        <v>1.6359862026205662E-2</v>
      </c>
      <c r="CP59" s="22"/>
      <c r="CQ59" s="194">
        <v>25000</v>
      </c>
      <c r="CR59" s="22"/>
      <c r="CS59" s="22"/>
      <c r="CT59" s="22"/>
    </row>
    <row r="60" spans="4:98" ht="15" thickBot="1">
      <c r="D60" s="41" t="s">
        <v>88</v>
      </c>
      <c r="E60" s="192">
        <v>19897.650000000001</v>
      </c>
      <c r="F60" s="185"/>
      <c r="G60" s="185"/>
      <c r="H60" s="186"/>
      <c r="I60" s="192">
        <v>19897.650000000001</v>
      </c>
      <c r="J60" s="185"/>
      <c r="K60" s="185"/>
      <c r="L60" s="185"/>
      <c r="M60" s="186"/>
      <c r="N60" s="192">
        <v>19897.650000000001</v>
      </c>
      <c r="O60" s="185"/>
      <c r="P60" s="185"/>
      <c r="Q60" s="185"/>
      <c r="R60" s="186"/>
      <c r="S60" s="192">
        <v>19897.650000000001</v>
      </c>
      <c r="T60" s="185"/>
      <c r="U60" s="185"/>
      <c r="V60" s="185"/>
      <c r="W60" s="186"/>
      <c r="X60" s="192">
        <v>19897.650000000001</v>
      </c>
      <c r="Y60" s="185"/>
      <c r="Z60" s="185"/>
      <c r="AA60" s="186"/>
      <c r="AB60" s="192">
        <v>19897.650000000001</v>
      </c>
      <c r="AC60" s="185"/>
      <c r="AD60" s="185"/>
      <c r="AE60" s="186"/>
      <c r="AF60" s="192">
        <v>19897.650000000001</v>
      </c>
      <c r="AG60" s="185"/>
      <c r="AH60" s="185"/>
      <c r="AI60" s="186"/>
      <c r="AJ60" s="192">
        <v>19897.650000000001</v>
      </c>
      <c r="AK60" s="185"/>
      <c r="AL60" s="185"/>
      <c r="AM60" s="185"/>
      <c r="AN60" s="186"/>
      <c r="AO60" s="192">
        <v>19897.650000000001</v>
      </c>
      <c r="AP60" s="185"/>
      <c r="AQ60" s="185"/>
      <c r="AR60" s="185"/>
      <c r="AS60" s="186"/>
      <c r="AT60" s="192">
        <v>19897.650000000001</v>
      </c>
      <c r="AU60" s="185"/>
      <c r="AV60" s="185"/>
      <c r="AW60" s="185"/>
      <c r="AX60" s="186"/>
      <c r="AY60" s="192">
        <v>19897.650000000001</v>
      </c>
      <c r="AZ60" s="185"/>
      <c r="BA60" s="185"/>
      <c r="BB60" s="186"/>
      <c r="BC60" s="192">
        <v>19897.650000000001</v>
      </c>
      <c r="BD60" s="185"/>
      <c r="BE60" s="185"/>
      <c r="BF60" s="186"/>
      <c r="BH60" s="81">
        <f t="shared" si="6"/>
        <v>238771.79999999996</v>
      </c>
      <c r="BI60" s="83">
        <f t="shared" si="7"/>
        <v>0.244327036283568</v>
      </c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22"/>
      <c r="CL60" s="194">
        <v>233707.5</v>
      </c>
      <c r="CM60" s="194"/>
      <c r="CN60" s="194">
        <v>5064.2999999999593</v>
      </c>
      <c r="CO60" s="30">
        <v>2.1669394435351708E-2</v>
      </c>
      <c r="CP60" s="22"/>
      <c r="CQ60" s="194">
        <v>230625</v>
      </c>
      <c r="CR60" s="22"/>
      <c r="CS60" s="22"/>
      <c r="CT60" s="22"/>
    </row>
    <row r="61" spans="4:98" ht="18.95" thickBot="1">
      <c r="D61" s="43" t="s">
        <v>89</v>
      </c>
      <c r="E61" s="132">
        <f>SUM(E53:H60)</f>
        <v>62657.902702702704</v>
      </c>
      <c r="F61" s="212"/>
      <c r="G61" s="212"/>
      <c r="H61" s="213"/>
      <c r="I61" s="132">
        <f>SUM(I53:M60)</f>
        <v>23546.906756756758</v>
      </c>
      <c r="J61" s="212"/>
      <c r="K61" s="212"/>
      <c r="L61" s="212"/>
      <c r="M61" s="213"/>
      <c r="N61" s="132">
        <f>SUM(N53:R60)</f>
        <v>37763.825675675675</v>
      </c>
      <c r="O61" s="212"/>
      <c r="P61" s="212"/>
      <c r="Q61" s="212"/>
      <c r="R61" s="213"/>
      <c r="S61" s="132">
        <f>SUM(S53:W60)</f>
        <v>70960.519189189188</v>
      </c>
      <c r="T61" s="212"/>
      <c r="U61" s="212"/>
      <c r="V61" s="212"/>
      <c r="W61" s="213"/>
      <c r="X61" s="132">
        <f>SUM(X53:AA60)</f>
        <v>116444.34967891892</v>
      </c>
      <c r="Y61" s="212"/>
      <c r="Z61" s="212"/>
      <c r="AA61" s="213"/>
      <c r="AB61" s="132">
        <f>SUM(AB53:AE60)</f>
        <v>103211.61309459459</v>
      </c>
      <c r="AC61" s="212"/>
      <c r="AD61" s="212"/>
      <c r="AE61" s="213"/>
      <c r="AF61" s="132">
        <f>SUM(AF53:AI60)</f>
        <v>104881.84899999999</v>
      </c>
      <c r="AG61" s="212"/>
      <c r="AH61" s="212"/>
      <c r="AI61" s="213"/>
      <c r="AJ61" s="132">
        <f>SUM(AJ53:AN60)</f>
        <v>47799.523243243239</v>
      </c>
      <c r="AK61" s="212"/>
      <c r="AL61" s="212"/>
      <c r="AM61" s="212"/>
      <c r="AN61" s="213"/>
      <c r="AO61" s="132">
        <f>SUM(AO53:AS60)</f>
        <v>102232.53054054055</v>
      </c>
      <c r="AP61" s="212"/>
      <c r="AQ61" s="212"/>
      <c r="AR61" s="212"/>
      <c r="AS61" s="213"/>
      <c r="AT61" s="132">
        <f>SUM(AT53:AX60)</f>
        <v>40481.732972972968</v>
      </c>
      <c r="AU61" s="212"/>
      <c r="AV61" s="212"/>
      <c r="AW61" s="212"/>
      <c r="AX61" s="213"/>
      <c r="AY61" s="132">
        <f>SUM(AY53:BB60)</f>
        <v>241594.55581081082</v>
      </c>
      <c r="AZ61" s="212"/>
      <c r="BA61" s="212"/>
      <c r="BB61" s="213"/>
      <c r="BC61" s="132">
        <f>SUM(BC53:BF60)</f>
        <v>25687.804054054053</v>
      </c>
      <c r="BD61" s="212"/>
      <c r="BE61" s="212"/>
      <c r="BF61" s="213"/>
      <c r="BH61" s="89">
        <f>BC61+AZ61+AY61+AT61+AP61+AO61+AJ61+AF61+AB61+X61+S61+N61+I61+E61</f>
        <v>977263.11271945934</v>
      </c>
      <c r="BI61" s="82">
        <f t="shared" si="7"/>
        <v>1</v>
      </c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63"/>
      <c r="CL61" s="53">
        <v>688206.98</v>
      </c>
      <c r="CM61" s="194"/>
      <c r="CN61" s="194">
        <v>34155.990000000107</v>
      </c>
      <c r="CO61" s="30">
        <v>4.9630403341739002E-2</v>
      </c>
      <c r="CP61" s="63"/>
      <c r="CQ61" s="53">
        <v>705625</v>
      </c>
      <c r="CR61" s="63"/>
      <c r="CS61" s="63"/>
      <c r="CT61" s="63"/>
    </row>
    <row r="63" spans="4:98" ht="15.75" customHeight="1" thickBot="1"/>
    <row r="64" spans="4:98" ht="18.95" thickBot="1">
      <c r="D64" s="43" t="s">
        <v>90</v>
      </c>
      <c r="E64" s="128">
        <f>E61+E38</f>
        <v>116598.44324324324</v>
      </c>
      <c r="F64" s="185"/>
      <c r="G64" s="185"/>
      <c r="H64" s="186"/>
      <c r="I64" s="128">
        <f>I61+I38</f>
        <v>64898.258108108101</v>
      </c>
      <c r="J64" s="185"/>
      <c r="K64" s="185"/>
      <c r="L64" s="185"/>
      <c r="M64" s="186"/>
      <c r="N64" s="128">
        <f>N61+N38</f>
        <v>126898.96081081079</v>
      </c>
      <c r="O64" s="185"/>
      <c r="P64" s="185"/>
      <c r="Q64" s="185"/>
      <c r="R64" s="186"/>
      <c r="S64" s="128">
        <f>S61+S38</f>
        <v>344798.357027027</v>
      </c>
      <c r="T64" s="185"/>
      <c r="U64" s="185"/>
      <c r="V64" s="185"/>
      <c r="W64" s="186"/>
      <c r="X64" s="128">
        <f>X61+X38</f>
        <v>519239.81346270279</v>
      </c>
      <c r="Y64" s="185"/>
      <c r="Z64" s="185"/>
      <c r="AA64" s="186"/>
      <c r="AB64" s="128">
        <f>AB61+AB38</f>
        <v>811908.53201351338</v>
      </c>
      <c r="AC64" s="185"/>
      <c r="AD64" s="185"/>
      <c r="AE64" s="186"/>
      <c r="AF64" s="128">
        <f>AF61+AF38</f>
        <v>721573.84899999993</v>
      </c>
      <c r="AG64" s="185"/>
      <c r="AH64" s="185"/>
      <c r="AI64" s="186"/>
      <c r="AJ64" s="128">
        <f>AJ61+AJ38</f>
        <v>309048.17189189186</v>
      </c>
      <c r="AK64" s="185"/>
      <c r="AL64" s="185"/>
      <c r="AM64" s="185"/>
      <c r="AN64" s="186"/>
      <c r="AO64" s="129">
        <f>AO61+AP38+AO38</f>
        <v>584940.63864864875</v>
      </c>
      <c r="AP64" s="128"/>
      <c r="AQ64" s="128"/>
      <c r="AR64" s="128"/>
      <c r="AS64" s="130"/>
      <c r="AT64" s="128">
        <f>AT61+AT38</f>
        <v>221876.32756756758</v>
      </c>
      <c r="AU64" s="185"/>
      <c r="AV64" s="185"/>
      <c r="AW64" s="185"/>
      <c r="AX64" s="186"/>
      <c r="AY64" s="128">
        <f>AY61+AZ38+AY38</f>
        <v>632456.71797297301</v>
      </c>
      <c r="AZ64" s="185"/>
      <c r="BA64" s="185"/>
      <c r="BB64" s="186"/>
      <c r="BC64" s="128">
        <f>BC38+BC61</f>
        <v>91298.614864864867</v>
      </c>
      <c r="BD64" s="185"/>
      <c r="BE64" s="185"/>
      <c r="BF64" s="186"/>
      <c r="BH64" s="28">
        <f>BH61+BH38</f>
        <v>4559536.6846113512</v>
      </c>
      <c r="CL64" s="64">
        <v>4521463.6937499996</v>
      </c>
      <c r="CM64" s="194"/>
      <c r="CN64" s="194">
        <v>-54900.723749999888</v>
      </c>
      <c r="CO64" s="30">
        <v>-1.2142245845275486E-2</v>
      </c>
      <c r="CQ64" s="27">
        <v>4454625</v>
      </c>
    </row>
    <row r="66" spans="4:88" ht="15.75" customHeight="1" thickBot="1">
      <c r="E66" s="121">
        <v>80693.86</v>
      </c>
      <c r="F66" s="121"/>
      <c r="G66" s="121"/>
      <c r="H66" s="121"/>
      <c r="I66" s="127">
        <v>71173.77</v>
      </c>
      <c r="J66" s="121"/>
      <c r="K66" s="121"/>
      <c r="L66" s="121"/>
      <c r="M66" s="121"/>
      <c r="N66" s="121">
        <v>128288.01</v>
      </c>
      <c r="O66" s="121"/>
      <c r="P66" s="121"/>
      <c r="Q66" s="121"/>
      <c r="R66" s="121"/>
      <c r="S66" s="121">
        <v>295095.05</v>
      </c>
      <c r="T66" s="121"/>
      <c r="U66" s="121"/>
      <c r="V66" s="121"/>
      <c r="W66" s="121"/>
      <c r="X66" s="121">
        <v>649676.17000000004</v>
      </c>
      <c r="Y66" s="121"/>
      <c r="Z66" s="121"/>
      <c r="AA66" s="121"/>
      <c r="AB66" s="121">
        <v>786041.43</v>
      </c>
      <c r="AC66" s="121"/>
      <c r="AD66" s="121"/>
      <c r="AE66" s="121"/>
      <c r="AF66" s="121">
        <v>699106.96</v>
      </c>
      <c r="AG66" s="121"/>
      <c r="AH66" s="121"/>
      <c r="AI66" s="121"/>
      <c r="AJ66" s="121">
        <v>394456.38</v>
      </c>
      <c r="AK66" s="121"/>
      <c r="AL66" s="121"/>
      <c r="AM66" s="121"/>
      <c r="AN66" s="121"/>
      <c r="AO66" s="121">
        <v>509823.52</v>
      </c>
      <c r="AP66" s="121"/>
      <c r="AQ66" s="121"/>
      <c r="AR66" s="121"/>
      <c r="AS66" s="121"/>
      <c r="AT66" s="122">
        <v>494353.51</v>
      </c>
      <c r="AU66" s="122"/>
      <c r="AV66" s="122"/>
      <c r="AW66" s="122"/>
      <c r="AX66" s="122"/>
      <c r="AY66" s="126"/>
      <c r="AZ66" s="126"/>
      <c r="BA66" s="126"/>
      <c r="BB66" s="126"/>
      <c r="BC66" s="126"/>
      <c r="BD66" s="126"/>
      <c r="BE66" s="126"/>
      <c r="BF66" s="126"/>
    </row>
    <row r="67" spans="4:88" ht="15.75" customHeight="1" thickBot="1">
      <c r="BH67" s="91" t="s">
        <v>91</v>
      </c>
      <c r="BI67" s="92">
        <f>BH61/BH64</f>
        <v>0.21433386335453072</v>
      </c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</row>
    <row r="68" spans="4:88" ht="14.1" thickBot="1">
      <c r="D68" s="12"/>
      <c r="E68" s="124">
        <f>E66-E64</f>
        <v>-35904.583243243236</v>
      </c>
      <c r="F68" s="121"/>
      <c r="G68" s="121"/>
      <c r="H68" s="121"/>
      <c r="I68" s="125">
        <f>I66-I64</f>
        <v>6275.5118918919034</v>
      </c>
      <c r="J68" s="121"/>
      <c r="K68" s="121"/>
      <c r="L68" s="121"/>
      <c r="M68" s="121"/>
      <c r="N68" s="124">
        <f>N66-N64</f>
        <v>1389.0491891892016</v>
      </c>
      <c r="O68" s="121"/>
      <c r="P68" s="121"/>
      <c r="Q68" s="121"/>
      <c r="R68" s="121"/>
      <c r="S68" s="121">
        <f>S66-S64</f>
        <v>-49703.307027027011</v>
      </c>
      <c r="T68" s="121"/>
      <c r="U68" s="121"/>
      <c r="V68" s="121"/>
      <c r="W68" s="121"/>
      <c r="X68" s="121">
        <f>X66-X64</f>
        <v>130436.35653729725</v>
      </c>
      <c r="Y68" s="121"/>
      <c r="Z68" s="121"/>
      <c r="AA68" s="121"/>
      <c r="AB68" s="121">
        <f>AB66-AB64</f>
        <v>-25867.102013513329</v>
      </c>
      <c r="AC68" s="121"/>
      <c r="AD68" s="121"/>
      <c r="AE68" s="121"/>
      <c r="AF68" s="121">
        <f>AF66-AF64</f>
        <v>-22466.888999999966</v>
      </c>
      <c r="AG68" s="121"/>
      <c r="AH68" s="121"/>
      <c r="AI68" s="121"/>
      <c r="AJ68" s="121">
        <f>AJ66-AJ64</f>
        <v>85408.208108108141</v>
      </c>
      <c r="AK68" s="121"/>
      <c r="AL68" s="121"/>
      <c r="AM68" s="121"/>
      <c r="AN68" s="121"/>
      <c r="AO68" s="121">
        <f>AO66-AO64</f>
        <v>-75117.118648648728</v>
      </c>
      <c r="AP68" s="121"/>
      <c r="AQ68" s="121"/>
      <c r="AR68" s="121"/>
      <c r="AS68" s="121"/>
      <c r="AT68" s="122">
        <f>AT66-AT64</f>
        <v>272477.18243243243</v>
      </c>
      <c r="AU68" s="122"/>
      <c r="AV68" s="122"/>
      <c r="AW68" s="122"/>
      <c r="AX68" s="122"/>
      <c r="BH68" s="90" t="s">
        <v>92</v>
      </c>
      <c r="BI68" s="92">
        <f>BH38/BH64</f>
        <v>0.78566613664546925</v>
      </c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</row>
    <row r="69" spans="4:88" ht="12.95">
      <c r="BH69" s="62"/>
    </row>
    <row r="74" spans="4:88" ht="15.75" customHeight="1">
      <c r="AO74">
        <v>-23000</v>
      </c>
    </row>
    <row r="150" spans="90:92" ht="14.1">
      <c r="CL150" s="65">
        <v>26433.56</v>
      </c>
    </row>
    <row r="151" spans="90:92" ht="12.95">
      <c r="CL151" s="12">
        <f t="shared" ref="CL151:CL154" si="8">$CL$150*CN151</f>
        <v>7930.0680000000002</v>
      </c>
      <c r="CM151" s="12"/>
      <c r="CN151" s="12">
        <v>0.3</v>
      </c>
    </row>
    <row r="152" spans="90:92" ht="12.95">
      <c r="CL152" s="12">
        <f t="shared" si="8"/>
        <v>7930.0680000000002</v>
      </c>
      <c r="CM152" s="12"/>
      <c r="CN152" s="12">
        <v>0.3</v>
      </c>
    </row>
    <row r="153" spans="90:92" ht="12.95">
      <c r="CL153" s="12">
        <f t="shared" si="8"/>
        <v>5286.7120000000004</v>
      </c>
      <c r="CM153" s="12"/>
      <c r="CN153" s="12">
        <v>0.2</v>
      </c>
    </row>
    <row r="154" spans="90:92" ht="12.95">
      <c r="CL154" s="12">
        <f t="shared" si="8"/>
        <v>5286.7120000000004</v>
      </c>
      <c r="CM154" s="12"/>
      <c r="CN154" s="12">
        <v>0.2</v>
      </c>
    </row>
  </sheetData>
  <mergeCells count="576">
    <mergeCell ref="AT66:AX66"/>
    <mergeCell ref="AY66:BB66"/>
    <mergeCell ref="BC66:BF66"/>
    <mergeCell ref="E68:H68"/>
    <mergeCell ref="I68:M68"/>
    <mergeCell ref="N68:R68"/>
    <mergeCell ref="S68:W68"/>
    <mergeCell ref="X68:AA68"/>
    <mergeCell ref="AB68:AE68"/>
    <mergeCell ref="AF68:AI68"/>
    <mergeCell ref="AJ68:AN68"/>
    <mergeCell ref="AO68:AS68"/>
    <mergeCell ref="AT68:AX68"/>
    <mergeCell ref="E66:H66"/>
    <mergeCell ref="I66:M66"/>
    <mergeCell ref="N66:R66"/>
    <mergeCell ref="S66:W66"/>
    <mergeCell ref="X66:AA66"/>
    <mergeCell ref="AB66:AE66"/>
    <mergeCell ref="AF66:AI66"/>
    <mergeCell ref="AJ66:AN66"/>
    <mergeCell ref="AO66:AS66"/>
    <mergeCell ref="AY52:BB52"/>
    <mergeCell ref="BC52:BF52"/>
    <mergeCell ref="E1:BF2"/>
    <mergeCell ref="I52:M52"/>
    <mergeCell ref="N52:R52"/>
    <mergeCell ref="S52:W52"/>
    <mergeCell ref="X52:AA52"/>
    <mergeCell ref="AB52:AE52"/>
    <mergeCell ref="AF52:AI52"/>
    <mergeCell ref="E29:H29"/>
    <mergeCell ref="I29:M29"/>
    <mergeCell ref="N29:R29"/>
    <mergeCell ref="S29:W29"/>
    <mergeCell ref="X29:AA29"/>
    <mergeCell ref="AB29:AE29"/>
    <mergeCell ref="AF29:AI29"/>
    <mergeCell ref="AJ29:AN29"/>
    <mergeCell ref="AP29:AS29"/>
    <mergeCell ref="AZ47:BB47"/>
    <mergeCell ref="BC47:BF47"/>
    <mergeCell ref="E47:H47"/>
    <mergeCell ref="AP45:AS45"/>
    <mergeCell ref="AT45:AX45"/>
    <mergeCell ref="E41:H41"/>
    <mergeCell ref="AY53:BB53"/>
    <mergeCell ref="BC53:BF53"/>
    <mergeCell ref="E10:H10"/>
    <mergeCell ref="I10:M10"/>
    <mergeCell ref="N10:R10"/>
    <mergeCell ref="AT29:AX29"/>
    <mergeCell ref="AZ29:BB29"/>
    <mergeCell ref="BC29:BF29"/>
    <mergeCell ref="S53:W53"/>
    <mergeCell ref="X53:AA53"/>
    <mergeCell ref="AB53:AE53"/>
    <mergeCell ref="AF53:AI53"/>
    <mergeCell ref="AJ53:AN53"/>
    <mergeCell ref="AO53:AS53"/>
    <mergeCell ref="AF48:AI48"/>
    <mergeCell ref="AJ48:AN48"/>
    <mergeCell ref="AZ48:BB48"/>
    <mergeCell ref="AH49:AL49"/>
    <mergeCell ref="AH50:AL50"/>
    <mergeCell ref="AF47:AI47"/>
    <mergeCell ref="AJ47:AN47"/>
    <mergeCell ref="AP47:AS47"/>
    <mergeCell ref="AT47:AX47"/>
    <mergeCell ref="AJ52:AN52"/>
    <mergeCell ref="BC64:BF64"/>
    <mergeCell ref="S20:W20"/>
    <mergeCell ref="X20:AA20"/>
    <mergeCell ref="AB20:AE20"/>
    <mergeCell ref="AF20:AI20"/>
    <mergeCell ref="AJ20:AN20"/>
    <mergeCell ref="AP20:AS20"/>
    <mergeCell ref="AT20:AX20"/>
    <mergeCell ref="AZ20:BB20"/>
    <mergeCell ref="BC20:BF20"/>
    <mergeCell ref="AB64:AE64"/>
    <mergeCell ref="AF64:AI64"/>
    <mergeCell ref="AJ64:AN64"/>
    <mergeCell ref="AO64:AS64"/>
    <mergeCell ref="AT64:AX64"/>
    <mergeCell ref="AY64:BB64"/>
    <mergeCell ref="AJ61:AN61"/>
    <mergeCell ref="AO61:AS61"/>
    <mergeCell ref="AT61:AX61"/>
    <mergeCell ref="AY61:BB61"/>
    <mergeCell ref="BC61:BF61"/>
    <mergeCell ref="BC59:BF59"/>
    <mergeCell ref="AB59:AE59"/>
    <mergeCell ref="AF59:AI59"/>
    <mergeCell ref="E64:H64"/>
    <mergeCell ref="I64:M64"/>
    <mergeCell ref="N64:R64"/>
    <mergeCell ref="S64:W64"/>
    <mergeCell ref="X64:AA64"/>
    <mergeCell ref="AT60:AX60"/>
    <mergeCell ref="AY60:BB60"/>
    <mergeCell ref="BC60:BF60"/>
    <mergeCell ref="E61:H61"/>
    <mergeCell ref="I61:M61"/>
    <mergeCell ref="N61:R61"/>
    <mergeCell ref="S61:W61"/>
    <mergeCell ref="X61:AA61"/>
    <mergeCell ref="AB61:AE61"/>
    <mergeCell ref="AF61:AI61"/>
    <mergeCell ref="E60:H60"/>
    <mergeCell ref="I60:M60"/>
    <mergeCell ref="N60:R60"/>
    <mergeCell ref="S60:W60"/>
    <mergeCell ref="X60:AA60"/>
    <mergeCell ref="AB60:AE60"/>
    <mergeCell ref="AF60:AI60"/>
    <mergeCell ref="AJ60:AN60"/>
    <mergeCell ref="AO60:AS60"/>
    <mergeCell ref="E59:H59"/>
    <mergeCell ref="I59:M59"/>
    <mergeCell ref="N59:R59"/>
    <mergeCell ref="S59:W59"/>
    <mergeCell ref="X59:AA59"/>
    <mergeCell ref="AT57:AX57"/>
    <mergeCell ref="AY57:BB57"/>
    <mergeCell ref="BC57:BF57"/>
    <mergeCell ref="E58:H58"/>
    <mergeCell ref="I58:M58"/>
    <mergeCell ref="N58:R58"/>
    <mergeCell ref="S58:W58"/>
    <mergeCell ref="X58:AA58"/>
    <mergeCell ref="AB58:AE58"/>
    <mergeCell ref="AF58:AI58"/>
    <mergeCell ref="AJ59:AN59"/>
    <mergeCell ref="AO59:AS59"/>
    <mergeCell ref="AT59:AX59"/>
    <mergeCell ref="AY59:BB59"/>
    <mergeCell ref="AJ58:AN58"/>
    <mergeCell ref="AO58:AS58"/>
    <mergeCell ref="AT58:AX58"/>
    <mergeCell ref="AY58:BB58"/>
    <mergeCell ref="BC58:BF58"/>
    <mergeCell ref="E56:H56"/>
    <mergeCell ref="I56:M56"/>
    <mergeCell ref="N56:R56"/>
    <mergeCell ref="S56:W56"/>
    <mergeCell ref="X56:AA56"/>
    <mergeCell ref="BC56:BF56"/>
    <mergeCell ref="E57:H57"/>
    <mergeCell ref="I57:M57"/>
    <mergeCell ref="N57:R57"/>
    <mergeCell ref="S57:W57"/>
    <mergeCell ref="X57:AA57"/>
    <mergeCell ref="AB57:AE57"/>
    <mergeCell ref="AF57:AI57"/>
    <mergeCell ref="AJ57:AN57"/>
    <mergeCell ref="AO57:AS57"/>
    <mergeCell ref="AB56:AE56"/>
    <mergeCell ref="AF56:AI56"/>
    <mergeCell ref="AJ56:AN56"/>
    <mergeCell ref="AO56:AS56"/>
    <mergeCell ref="AT56:AX56"/>
    <mergeCell ref="AY56:BB56"/>
    <mergeCell ref="AY54:BB54"/>
    <mergeCell ref="BC54:BF54"/>
    <mergeCell ref="E55:H55"/>
    <mergeCell ref="I55:M55"/>
    <mergeCell ref="N55:R55"/>
    <mergeCell ref="S55:W55"/>
    <mergeCell ref="X55:AA55"/>
    <mergeCell ref="AB55:AE55"/>
    <mergeCell ref="AF55:AI55"/>
    <mergeCell ref="S54:W54"/>
    <mergeCell ref="X54:AA54"/>
    <mergeCell ref="AB54:AE54"/>
    <mergeCell ref="AF54:AI54"/>
    <mergeCell ref="AJ54:AN54"/>
    <mergeCell ref="AO54:AS54"/>
    <mergeCell ref="AJ55:AN55"/>
    <mergeCell ref="AO55:AS55"/>
    <mergeCell ref="AT55:AX55"/>
    <mergeCell ref="AY55:BB55"/>
    <mergeCell ref="BC55:BF55"/>
    <mergeCell ref="AT54:AX54"/>
    <mergeCell ref="D51:D52"/>
    <mergeCell ref="E52:H52"/>
    <mergeCell ref="E54:H54"/>
    <mergeCell ref="I54:M54"/>
    <mergeCell ref="N54:R54"/>
    <mergeCell ref="E53:H53"/>
    <mergeCell ref="I53:M53"/>
    <mergeCell ref="N53:R53"/>
    <mergeCell ref="S48:W48"/>
    <mergeCell ref="AT53:AX53"/>
    <mergeCell ref="AO52:AS52"/>
    <mergeCell ref="AT52:AX52"/>
    <mergeCell ref="X42:AA42"/>
    <mergeCell ref="AB42:AE42"/>
    <mergeCell ref="I47:M47"/>
    <mergeCell ref="N47:R47"/>
    <mergeCell ref="S47:W47"/>
    <mergeCell ref="X47:AA47"/>
    <mergeCell ref="AB47:AE47"/>
    <mergeCell ref="AF45:AI45"/>
    <mergeCell ref="AJ45:AN45"/>
    <mergeCell ref="I41:M41"/>
    <mergeCell ref="N41:R41"/>
    <mergeCell ref="S41:W41"/>
    <mergeCell ref="X41:AA41"/>
    <mergeCell ref="AB41:AE41"/>
    <mergeCell ref="AZ45:BB45"/>
    <mergeCell ref="BC45:BF45"/>
    <mergeCell ref="E45:H45"/>
    <mergeCell ref="I45:M45"/>
    <mergeCell ref="N45:R45"/>
    <mergeCell ref="S45:W45"/>
    <mergeCell ref="X45:AA45"/>
    <mergeCell ref="AB45:AE45"/>
    <mergeCell ref="AF42:AI42"/>
    <mergeCell ref="AJ42:AN42"/>
    <mergeCell ref="AO42:AS42"/>
    <mergeCell ref="AT42:AX42"/>
    <mergeCell ref="AY42:BB42"/>
    <mergeCell ref="BC42:BF42"/>
    <mergeCell ref="E42:H42"/>
    <mergeCell ref="I42:M42"/>
    <mergeCell ref="N42:R42"/>
    <mergeCell ref="S42:W42"/>
    <mergeCell ref="AP40:AS40"/>
    <mergeCell ref="AT40:AX40"/>
    <mergeCell ref="AZ40:BB40"/>
    <mergeCell ref="BC40:BF40"/>
    <mergeCell ref="AP39:AS39"/>
    <mergeCell ref="AT39:AX39"/>
    <mergeCell ref="AZ39:BB39"/>
    <mergeCell ref="BC39:BF39"/>
    <mergeCell ref="AF41:AI41"/>
    <mergeCell ref="AJ41:AN41"/>
    <mergeCell ref="AO41:AS41"/>
    <mergeCell ref="AT41:AX41"/>
    <mergeCell ref="AY41:BB41"/>
    <mergeCell ref="BC41:BF41"/>
    <mergeCell ref="E40:H40"/>
    <mergeCell ref="I40:M40"/>
    <mergeCell ref="N40:R40"/>
    <mergeCell ref="S40:W40"/>
    <mergeCell ref="X40:AA40"/>
    <mergeCell ref="AB40:AE40"/>
    <mergeCell ref="AZ38:BB38"/>
    <mergeCell ref="BC38:BF38"/>
    <mergeCell ref="E39:H39"/>
    <mergeCell ref="I39:M39"/>
    <mergeCell ref="N39:R39"/>
    <mergeCell ref="S39:W39"/>
    <mergeCell ref="X39:AA39"/>
    <mergeCell ref="AB39:AE39"/>
    <mergeCell ref="AF39:AI39"/>
    <mergeCell ref="AJ39:AN39"/>
    <mergeCell ref="X38:AA38"/>
    <mergeCell ref="AB38:AE38"/>
    <mergeCell ref="AF38:AI38"/>
    <mergeCell ref="AJ38:AN38"/>
    <mergeCell ref="AP38:AS38"/>
    <mergeCell ref="AT38:AX38"/>
    <mergeCell ref="AF40:AI40"/>
    <mergeCell ref="AJ40:AN40"/>
    <mergeCell ref="I37:M37"/>
    <mergeCell ref="N37:R37"/>
    <mergeCell ref="E38:H38"/>
    <mergeCell ref="I38:M38"/>
    <mergeCell ref="N38:R38"/>
    <mergeCell ref="S38:W38"/>
    <mergeCell ref="AF36:AI36"/>
    <mergeCell ref="AJ36:AN36"/>
    <mergeCell ref="AP36:AS36"/>
    <mergeCell ref="AT36:AX36"/>
    <mergeCell ref="AZ36:BB36"/>
    <mergeCell ref="BC36:BF36"/>
    <mergeCell ref="E36:H36"/>
    <mergeCell ref="I36:M36"/>
    <mergeCell ref="N36:R36"/>
    <mergeCell ref="S36:W36"/>
    <mergeCell ref="X36:AA36"/>
    <mergeCell ref="AB36:AE36"/>
    <mergeCell ref="AF35:AI35"/>
    <mergeCell ref="AJ35:AN35"/>
    <mergeCell ref="AP35:AS35"/>
    <mergeCell ref="AT35:AX35"/>
    <mergeCell ref="AZ35:BB35"/>
    <mergeCell ref="BC35:BF35"/>
    <mergeCell ref="E35:H35"/>
    <mergeCell ref="I35:M35"/>
    <mergeCell ref="N35:R35"/>
    <mergeCell ref="S35:W35"/>
    <mergeCell ref="X35:AA35"/>
    <mergeCell ref="AB35:AE35"/>
    <mergeCell ref="AF34:AI34"/>
    <mergeCell ref="AJ34:AN34"/>
    <mergeCell ref="AP34:AS34"/>
    <mergeCell ref="AT34:AX34"/>
    <mergeCell ref="AZ34:BB34"/>
    <mergeCell ref="BC34:BF34"/>
    <mergeCell ref="E34:H34"/>
    <mergeCell ref="I34:M34"/>
    <mergeCell ref="N34:R34"/>
    <mergeCell ref="S34:W34"/>
    <mergeCell ref="X34:AA34"/>
    <mergeCell ref="AB34:AE34"/>
    <mergeCell ref="AF33:AI33"/>
    <mergeCell ref="AJ33:AN33"/>
    <mergeCell ref="AP33:AS33"/>
    <mergeCell ref="AT33:AX33"/>
    <mergeCell ref="AZ33:BB33"/>
    <mergeCell ref="BC33:BF33"/>
    <mergeCell ref="E33:H33"/>
    <mergeCell ref="I33:M33"/>
    <mergeCell ref="N33:R33"/>
    <mergeCell ref="S33:W33"/>
    <mergeCell ref="X33:AA33"/>
    <mergeCell ref="AB33:AE33"/>
    <mergeCell ref="AF32:AI32"/>
    <mergeCell ref="AJ32:AN32"/>
    <mergeCell ref="AP32:AS32"/>
    <mergeCell ref="AT32:AX32"/>
    <mergeCell ref="AZ32:BB32"/>
    <mergeCell ref="BC32:BF32"/>
    <mergeCell ref="E32:H32"/>
    <mergeCell ref="I32:M32"/>
    <mergeCell ref="N32:R32"/>
    <mergeCell ref="S32:W32"/>
    <mergeCell ref="X32:AA32"/>
    <mergeCell ref="AB32:AE32"/>
    <mergeCell ref="AF31:AI31"/>
    <mergeCell ref="AJ31:AN31"/>
    <mergeCell ref="AP31:AS31"/>
    <mergeCell ref="AT31:AX31"/>
    <mergeCell ref="AZ31:BB31"/>
    <mergeCell ref="BC31:BF31"/>
    <mergeCell ref="E31:H31"/>
    <mergeCell ref="I31:M31"/>
    <mergeCell ref="N31:R31"/>
    <mergeCell ref="S31:W31"/>
    <mergeCell ref="X31:AA31"/>
    <mergeCell ref="AB31:AE31"/>
    <mergeCell ref="AF30:AI30"/>
    <mergeCell ref="AJ30:AN30"/>
    <mergeCell ref="AP30:AS30"/>
    <mergeCell ref="AT30:AX30"/>
    <mergeCell ref="AZ30:BB30"/>
    <mergeCell ref="BC30:BF30"/>
    <mergeCell ref="E30:H30"/>
    <mergeCell ref="I30:M30"/>
    <mergeCell ref="N30:R30"/>
    <mergeCell ref="S30:W30"/>
    <mergeCell ref="X30:AA30"/>
    <mergeCell ref="AB30:AE30"/>
    <mergeCell ref="AF28:AI28"/>
    <mergeCell ref="AJ28:AN28"/>
    <mergeCell ref="AP28:AS28"/>
    <mergeCell ref="AT28:AX28"/>
    <mergeCell ref="AZ28:BB28"/>
    <mergeCell ref="BC28:BF28"/>
    <mergeCell ref="E28:H28"/>
    <mergeCell ref="I28:M28"/>
    <mergeCell ref="N28:R28"/>
    <mergeCell ref="S28:W28"/>
    <mergeCell ref="X28:AA28"/>
    <mergeCell ref="AB28:AE28"/>
    <mergeCell ref="AF27:AI27"/>
    <mergeCell ref="AJ27:AN27"/>
    <mergeCell ref="AP27:AS27"/>
    <mergeCell ref="AT27:AX27"/>
    <mergeCell ref="AZ27:BB27"/>
    <mergeCell ref="BC27:BF27"/>
    <mergeCell ref="E27:H27"/>
    <mergeCell ref="I27:M27"/>
    <mergeCell ref="N27:R27"/>
    <mergeCell ref="S27:W27"/>
    <mergeCell ref="X27:AA27"/>
    <mergeCell ref="AB27:AE27"/>
    <mergeCell ref="AT26:AX26"/>
    <mergeCell ref="AZ26:BB26"/>
    <mergeCell ref="BC26:BF26"/>
    <mergeCell ref="E26:H26"/>
    <mergeCell ref="I26:M26"/>
    <mergeCell ref="N26:R26"/>
    <mergeCell ref="S26:W26"/>
    <mergeCell ref="X26:AA26"/>
    <mergeCell ref="AB26:AE26"/>
    <mergeCell ref="E25:H25"/>
    <mergeCell ref="I25:M25"/>
    <mergeCell ref="N25:R25"/>
    <mergeCell ref="S25:W25"/>
    <mergeCell ref="X25:AA25"/>
    <mergeCell ref="AB25:AE25"/>
    <mergeCell ref="AF26:AI26"/>
    <mergeCell ref="AJ26:AN26"/>
    <mergeCell ref="AP26:AS26"/>
    <mergeCell ref="AF25:AI25"/>
    <mergeCell ref="AJ25:AN25"/>
    <mergeCell ref="AP25:AS25"/>
    <mergeCell ref="AT25:AX25"/>
    <mergeCell ref="AZ25:BB25"/>
    <mergeCell ref="BC25:BF25"/>
    <mergeCell ref="AF24:AI24"/>
    <mergeCell ref="AJ24:AN24"/>
    <mergeCell ref="AP24:AS24"/>
    <mergeCell ref="AT24:AX24"/>
    <mergeCell ref="AZ24:BB24"/>
    <mergeCell ref="BC24:BF24"/>
    <mergeCell ref="E24:H24"/>
    <mergeCell ref="I24:M24"/>
    <mergeCell ref="N24:R24"/>
    <mergeCell ref="S24:W24"/>
    <mergeCell ref="X24:AA24"/>
    <mergeCell ref="AB24:AE24"/>
    <mergeCell ref="BC18:BF18"/>
    <mergeCell ref="E19:H19"/>
    <mergeCell ref="I19:M19"/>
    <mergeCell ref="N19:R19"/>
    <mergeCell ref="S19:W19"/>
    <mergeCell ref="X19:AA19"/>
    <mergeCell ref="AB19:AE19"/>
    <mergeCell ref="AF19:AI19"/>
    <mergeCell ref="AJ19:AN19"/>
    <mergeCell ref="AP19:AS19"/>
    <mergeCell ref="AB18:AE18"/>
    <mergeCell ref="AF18:AI18"/>
    <mergeCell ref="AJ18:AN18"/>
    <mergeCell ref="AP18:AS18"/>
    <mergeCell ref="AT18:AX18"/>
    <mergeCell ref="AZ18:BB18"/>
    <mergeCell ref="AT19:AX19"/>
    <mergeCell ref="E18:H18"/>
    <mergeCell ref="I18:M18"/>
    <mergeCell ref="N18:R18"/>
    <mergeCell ref="S18:W18"/>
    <mergeCell ref="X18:AA18"/>
    <mergeCell ref="AZ19:BB19"/>
    <mergeCell ref="BC19:BF19"/>
    <mergeCell ref="D21:D22"/>
    <mergeCell ref="E23:H23"/>
    <mergeCell ref="I23:M23"/>
    <mergeCell ref="N23:R23"/>
    <mergeCell ref="S23:W23"/>
    <mergeCell ref="X23:AA23"/>
    <mergeCell ref="AB23:AE23"/>
    <mergeCell ref="AF23:AI23"/>
    <mergeCell ref="AJ23:AN23"/>
    <mergeCell ref="AP23:AS23"/>
    <mergeCell ref="AT23:AX23"/>
    <mergeCell ref="AZ23:BB23"/>
    <mergeCell ref="BC23:BF23"/>
    <mergeCell ref="AT16:AX16"/>
    <mergeCell ref="AZ16:BB16"/>
    <mergeCell ref="BC16:BF16"/>
    <mergeCell ref="E17:H17"/>
    <mergeCell ref="I17:M17"/>
    <mergeCell ref="N17:R17"/>
    <mergeCell ref="S17:W17"/>
    <mergeCell ref="X17:AA17"/>
    <mergeCell ref="AB17:AE17"/>
    <mergeCell ref="AF17:AI17"/>
    <mergeCell ref="AJ17:AN17"/>
    <mergeCell ref="AP17:AS17"/>
    <mergeCell ref="AT17:AX17"/>
    <mergeCell ref="AZ17:BB17"/>
    <mergeCell ref="BC17:BF17"/>
    <mergeCell ref="E16:H16"/>
    <mergeCell ref="I16:M16"/>
    <mergeCell ref="N16:Q16"/>
    <mergeCell ref="S16:W16"/>
    <mergeCell ref="X16:AA16"/>
    <mergeCell ref="AB16:AE16"/>
    <mergeCell ref="AF16:AI16"/>
    <mergeCell ref="AJ16:AN16"/>
    <mergeCell ref="AP16:AS16"/>
    <mergeCell ref="AT14:AX14"/>
    <mergeCell ref="AZ14:BB14"/>
    <mergeCell ref="BC14:BF14"/>
    <mergeCell ref="E15:H15"/>
    <mergeCell ref="I15:M15"/>
    <mergeCell ref="N15:Q15"/>
    <mergeCell ref="S15:W15"/>
    <mergeCell ref="X15:AA15"/>
    <mergeCell ref="BC15:BF15"/>
    <mergeCell ref="AB15:AE15"/>
    <mergeCell ref="AF15:AI15"/>
    <mergeCell ref="AJ15:AN15"/>
    <mergeCell ref="AP15:AS15"/>
    <mergeCell ref="AT15:AX15"/>
    <mergeCell ref="AZ15:BB15"/>
    <mergeCell ref="E14:H14"/>
    <mergeCell ref="I14:M14"/>
    <mergeCell ref="N14:R14"/>
    <mergeCell ref="S14:W14"/>
    <mergeCell ref="X14:AA14"/>
    <mergeCell ref="AB14:AE14"/>
    <mergeCell ref="AF14:AI14"/>
    <mergeCell ref="AJ14:AN14"/>
    <mergeCell ref="AP14:AS14"/>
    <mergeCell ref="E12:H12"/>
    <mergeCell ref="I12:M12"/>
    <mergeCell ref="N12:Q12"/>
    <mergeCell ref="S12:W12"/>
    <mergeCell ref="X12:AA12"/>
    <mergeCell ref="BC12:BF12"/>
    <mergeCell ref="E13:H13"/>
    <mergeCell ref="I13:M13"/>
    <mergeCell ref="N13:Q13"/>
    <mergeCell ref="S13:W13"/>
    <mergeCell ref="X13:AA13"/>
    <mergeCell ref="AB13:AE13"/>
    <mergeCell ref="AF13:AI13"/>
    <mergeCell ref="AJ13:AN13"/>
    <mergeCell ref="AP13:AS13"/>
    <mergeCell ref="AB12:AE12"/>
    <mergeCell ref="AF12:AI12"/>
    <mergeCell ref="AJ12:AN12"/>
    <mergeCell ref="AP12:AS12"/>
    <mergeCell ref="AT12:AX12"/>
    <mergeCell ref="AZ12:BB12"/>
    <mergeCell ref="AT13:AX13"/>
    <mergeCell ref="AZ13:BB13"/>
    <mergeCell ref="BC13:BF13"/>
    <mergeCell ref="AT10:AX10"/>
    <mergeCell ref="AZ10:BB10"/>
    <mergeCell ref="BC10:BF10"/>
    <mergeCell ref="E11:H11"/>
    <mergeCell ref="I11:M11"/>
    <mergeCell ref="N11:R11"/>
    <mergeCell ref="S11:W11"/>
    <mergeCell ref="X11:AA11"/>
    <mergeCell ref="AB11:AE11"/>
    <mergeCell ref="AF11:AI11"/>
    <mergeCell ref="AJ11:AN11"/>
    <mergeCell ref="AP11:AS11"/>
    <mergeCell ref="AT11:AX11"/>
    <mergeCell ref="AZ11:BB11"/>
    <mergeCell ref="BC11:BF11"/>
    <mergeCell ref="S8:T8"/>
    <mergeCell ref="AP8:AQ8"/>
    <mergeCell ref="D9:D10"/>
    <mergeCell ref="S10:W10"/>
    <mergeCell ref="X10:AA10"/>
    <mergeCell ref="AB10:AE10"/>
    <mergeCell ref="AF10:AI10"/>
    <mergeCell ref="AJ10:AN10"/>
    <mergeCell ref="AP10:AS10"/>
    <mergeCell ref="AF7:AI7"/>
    <mergeCell ref="AJ7:AN7"/>
    <mergeCell ref="AP7:AS7"/>
    <mergeCell ref="AT7:AX7"/>
    <mergeCell ref="AZ7:BB7"/>
    <mergeCell ref="BC7:BF7"/>
    <mergeCell ref="E7:H7"/>
    <mergeCell ref="I7:M7"/>
    <mergeCell ref="N7:R7"/>
    <mergeCell ref="S7:W7"/>
    <mergeCell ref="X7:AA7"/>
    <mergeCell ref="AB7:AE7"/>
    <mergeCell ref="AF6:AI6"/>
    <mergeCell ref="AJ6:AN6"/>
    <mergeCell ref="AP6:AS6"/>
    <mergeCell ref="AT6:AX6"/>
    <mergeCell ref="AZ6:BB6"/>
    <mergeCell ref="BC6:BF6"/>
    <mergeCell ref="E4:Y4"/>
    <mergeCell ref="T5:V5"/>
    <mergeCell ref="Y5:AA5"/>
    <mergeCell ref="E6:H6"/>
    <mergeCell ref="I6:M6"/>
    <mergeCell ref="N6:R6"/>
    <mergeCell ref="S6:W6"/>
    <mergeCell ref="X6:AA6"/>
    <mergeCell ref="AB6:AE6"/>
  </mergeCells>
  <printOptions horizontalCentered="1"/>
  <pageMargins left="0.7" right="0.7" top="0.75" bottom="0.75" header="0" footer="0"/>
  <pageSetup paperSize="3" pageOrder="overThenDown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BE86B-D3DD-4EC7-BCD7-C640BBF43BC0}"/>
</file>

<file path=customXml/itemProps2.xml><?xml version="1.0" encoding="utf-8"?>
<ds:datastoreItem xmlns:ds="http://schemas.openxmlformats.org/officeDocument/2006/customXml" ds:itemID="{2446AFD0-B32E-4446-BAC8-5033D8F50084}"/>
</file>

<file path=customXml/itemProps3.xml><?xml version="1.0" encoding="utf-8"?>
<ds:datastoreItem xmlns:ds="http://schemas.openxmlformats.org/officeDocument/2006/customXml" ds:itemID="{CB6B1653-9898-4A9A-86FE-5259F485E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Veronique Dion</cp:lastModifiedBy>
  <cp:revision/>
  <dcterms:created xsi:type="dcterms:W3CDTF">2024-04-26T20:28:52Z</dcterms:created>
  <dcterms:modified xsi:type="dcterms:W3CDTF">2026-01-13T18:37:06Z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