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clubpiscine.sharepoint.com/sites/Finances/Documents partages/Franchisés/_Financement/"/>
    </mc:Choice>
  </mc:AlternateContent>
  <xr:revisionPtr revIDLastSave="376" documentId="8_{C12479C8-D804-4294-8E58-26D71CB1A962}" xr6:coauthVersionLast="47" xr6:coauthVersionMax="47" xr10:uidLastSave="{37F2603D-048E-4AD5-877B-4BB1D2069405}"/>
  <bookViews>
    <workbookView xWindow="-120" yWindow="-120" windowWidth="29040" windowHeight="15720" xr2:uid="{F6372D0F-8FA0-47B1-8431-AE2E5D7FBF30}"/>
  </bookViews>
  <sheets>
    <sheet name="2025-05-01" sheetId="4" r:id="rId1"/>
    <sheet name="Calculatrice" sheetId="3" r:id="rId2"/>
    <sheet name="Taux" sheetId="2" r:id="rId3"/>
  </sheets>
  <definedNames>
    <definedName name="AnnualRate">#REF!</definedName>
    <definedName name="bnc_10000">Taux!$D$7</definedName>
    <definedName name="bnc_15000">Taux!$D$8</definedName>
    <definedName name="bnc_5000">Taux!$D$5</definedName>
    <definedName name="bnc_7500">Taux!$D$6</definedName>
    <definedName name="Fairstone36mois">Taux!#REF!</definedName>
    <definedName name="Fairstone48mois">Taux!#REF!</definedName>
    <definedName name="Fairstone60mois">Taux!#REF!</definedName>
    <definedName name="FinanceIt">Taux!$F$4</definedName>
    <definedName name="MontantFinancement">Calculatrice!$B$11</definedName>
    <definedName name="Months">#REF!</definedName>
    <definedName name="_xlnm.Print_Area" localSheetId="0">'2025-05-01'!$A$1:$AZ$37</definedName>
    <definedName name="_xlnm.Print_Area" localSheetId="1">Calculatrice!$A$1:$G$38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6" i="4" l="1"/>
  <c r="Y35" i="4"/>
  <c r="Y34" i="4"/>
  <c r="Y33" i="4"/>
  <c r="Y32" i="4"/>
  <c r="Y31" i="4"/>
  <c r="Y30" i="4"/>
  <c r="Y29" i="4"/>
  <c r="Y28" i="4"/>
  <c r="Y27" i="4"/>
  <c r="Y26" i="4"/>
  <c r="Y25" i="4"/>
  <c r="Y24" i="4"/>
  <c r="Y23" i="4"/>
  <c r="Y22" i="4"/>
  <c r="Y21" i="4"/>
  <c r="Y20" i="4"/>
  <c r="Y19" i="4"/>
  <c r="Y18" i="4"/>
  <c r="Y17" i="4"/>
  <c r="Y16" i="4"/>
  <c r="Y15" i="4"/>
  <c r="Y14" i="4"/>
  <c r="Y13" i="4"/>
  <c r="Y12" i="4"/>
  <c r="Y11" i="4"/>
  <c r="Y10" i="4"/>
  <c r="Y9" i="4"/>
  <c r="Y8" i="4"/>
  <c r="W36" i="4"/>
  <c r="W35" i="4"/>
  <c r="W34" i="4"/>
  <c r="W33" i="4"/>
  <c r="W32" i="4"/>
  <c r="W31" i="4"/>
  <c r="W30" i="4"/>
  <c r="W29" i="4"/>
  <c r="W28" i="4"/>
  <c r="W27" i="4"/>
  <c r="W26" i="4"/>
  <c r="W25" i="4"/>
  <c r="W24" i="4"/>
  <c r="W23" i="4"/>
  <c r="W22" i="4"/>
  <c r="W21" i="4"/>
  <c r="W20" i="4"/>
  <c r="W19" i="4"/>
  <c r="W18" i="4"/>
  <c r="W17" i="4"/>
  <c r="W16" i="4"/>
  <c r="W15" i="4"/>
  <c r="W14" i="4"/>
  <c r="W13" i="4"/>
  <c r="W12" i="4"/>
  <c r="W11" i="4"/>
  <c r="W10" i="4"/>
  <c r="W9" i="4"/>
  <c r="W8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A2" i="3"/>
  <c r="B9" i="3"/>
  <c r="AO36" i="4"/>
  <c r="AN36" i="4"/>
  <c r="AO35" i="4"/>
  <c r="AN35" i="4"/>
  <c r="AO34" i="4"/>
  <c r="AN34" i="4"/>
  <c r="AO33" i="4"/>
  <c r="AN33" i="4"/>
  <c r="AO32" i="4"/>
  <c r="AN32" i="4"/>
  <c r="AO31" i="4"/>
  <c r="AN31" i="4"/>
  <c r="AO30" i="4"/>
  <c r="AN30" i="4"/>
  <c r="AO29" i="4"/>
  <c r="AN29" i="4"/>
  <c r="AO28" i="4"/>
  <c r="AN28" i="4"/>
  <c r="AO27" i="4"/>
  <c r="AN27" i="4"/>
  <c r="AO26" i="4"/>
  <c r="AN26" i="4"/>
  <c r="AO25" i="4"/>
  <c r="AN25" i="4"/>
  <c r="AO24" i="4"/>
  <c r="AN24" i="4"/>
  <c r="AO23" i="4"/>
  <c r="AN23" i="4"/>
  <c r="AO22" i="4"/>
  <c r="AN22" i="4"/>
  <c r="AO21" i="4"/>
  <c r="AN21" i="4"/>
  <c r="AO20" i="4"/>
  <c r="AN20" i="4"/>
  <c r="AO19" i="4"/>
  <c r="AN19" i="4"/>
  <c r="AO18" i="4"/>
  <c r="AN18" i="4"/>
  <c r="AO17" i="4"/>
  <c r="AN17" i="4"/>
  <c r="AO16" i="4"/>
  <c r="AN16" i="4"/>
  <c r="AO15" i="4"/>
  <c r="AN15" i="4"/>
  <c r="AO14" i="4"/>
  <c r="AN14" i="4"/>
  <c r="AO13" i="4"/>
  <c r="AN13" i="4"/>
  <c r="AO12" i="4"/>
  <c r="AN12" i="4"/>
  <c r="AO11" i="4"/>
  <c r="AN11" i="4"/>
  <c r="AO10" i="4"/>
  <c r="AN10" i="4"/>
  <c r="AO9" i="4"/>
  <c r="AN9" i="4"/>
  <c r="AO8" i="4"/>
  <c r="AN8" i="4"/>
  <c r="AL36" i="4"/>
  <c r="AK36" i="4"/>
  <c r="AL35" i="4"/>
  <c r="AK35" i="4"/>
  <c r="AL34" i="4"/>
  <c r="AK34" i="4"/>
  <c r="AL33" i="4"/>
  <c r="AK33" i="4"/>
  <c r="AL32" i="4"/>
  <c r="AK32" i="4"/>
  <c r="AL31" i="4"/>
  <c r="AK31" i="4"/>
  <c r="AL30" i="4"/>
  <c r="AK30" i="4"/>
  <c r="AL29" i="4"/>
  <c r="AK29" i="4"/>
  <c r="AL28" i="4"/>
  <c r="AK28" i="4"/>
  <c r="AL27" i="4"/>
  <c r="AK27" i="4"/>
  <c r="AL26" i="4"/>
  <c r="AK26" i="4"/>
  <c r="AL25" i="4"/>
  <c r="AK25" i="4"/>
  <c r="AL24" i="4"/>
  <c r="AK24" i="4"/>
  <c r="AL23" i="4"/>
  <c r="AK23" i="4"/>
  <c r="AL22" i="4"/>
  <c r="AK22" i="4"/>
  <c r="AL21" i="4"/>
  <c r="AK21" i="4"/>
  <c r="AL20" i="4"/>
  <c r="AK20" i="4"/>
  <c r="AL19" i="4"/>
  <c r="AK19" i="4"/>
  <c r="AL18" i="4"/>
  <c r="AK18" i="4"/>
  <c r="AL17" i="4"/>
  <c r="AK17" i="4"/>
  <c r="AL16" i="4"/>
  <c r="AK16" i="4"/>
  <c r="AL15" i="4"/>
  <c r="AK15" i="4"/>
  <c r="AL14" i="4"/>
  <c r="AK14" i="4"/>
  <c r="AL13" i="4"/>
  <c r="AK13" i="4"/>
  <c r="AL12" i="4"/>
  <c r="AK12" i="4"/>
  <c r="AL11" i="4"/>
  <c r="AK11" i="4"/>
  <c r="AL10" i="4"/>
  <c r="AK10" i="4"/>
  <c r="AL9" i="4"/>
  <c r="AK9" i="4"/>
  <c r="AL8" i="4"/>
  <c r="AK8" i="4"/>
  <c r="AF36" i="4"/>
  <c r="AF35" i="4"/>
  <c r="AF34" i="4"/>
  <c r="AF33" i="4"/>
  <c r="AF32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D36" i="4"/>
  <c r="AD35" i="4"/>
  <c r="AD34" i="4"/>
  <c r="AD33" i="4"/>
  <c r="AD32" i="4"/>
  <c r="AD31" i="4"/>
  <c r="AD30" i="4"/>
  <c r="AD29" i="4"/>
  <c r="AD28" i="4"/>
  <c r="AD27" i="4"/>
  <c r="AD26" i="4"/>
  <c r="AD25" i="4"/>
  <c r="AD24" i="4"/>
  <c r="AD23" i="4"/>
  <c r="AD22" i="4"/>
  <c r="AD21" i="4"/>
  <c r="AD20" i="4"/>
  <c r="AD19" i="4"/>
  <c r="AD18" i="4"/>
  <c r="AD17" i="4"/>
  <c r="AD16" i="4"/>
  <c r="AD15" i="4"/>
  <c r="AD14" i="4"/>
  <c r="AD13" i="4"/>
  <c r="AD12" i="4"/>
  <c r="AD11" i="4"/>
  <c r="AD10" i="4"/>
  <c r="AD9" i="4"/>
  <c r="AD8" i="4"/>
  <c r="AZ36" i="4"/>
  <c r="AZ35" i="4"/>
  <c r="AZ34" i="4"/>
  <c r="AZ33" i="4"/>
  <c r="AZ32" i="4"/>
  <c r="AZ31" i="4"/>
  <c r="AZ30" i="4"/>
  <c r="AZ29" i="4"/>
  <c r="AZ28" i="4"/>
  <c r="AZ27" i="4"/>
  <c r="AZ26" i="4"/>
  <c r="AZ25" i="4"/>
  <c r="AZ24" i="4"/>
  <c r="AZ23" i="4"/>
  <c r="AZ22" i="4"/>
  <c r="AZ21" i="4"/>
  <c r="AZ20" i="4"/>
  <c r="AZ19" i="4"/>
  <c r="AZ18" i="4"/>
  <c r="AZ17" i="4"/>
  <c r="AZ16" i="4"/>
  <c r="AZ15" i="4"/>
  <c r="AZ14" i="4"/>
  <c r="AZ13" i="4"/>
  <c r="AZ12" i="4"/>
  <c r="AZ11" i="4"/>
  <c r="AZ10" i="4"/>
  <c r="AZ9" i="4"/>
  <c r="AZ8" i="4"/>
  <c r="AX36" i="4"/>
  <c r="AX35" i="4"/>
  <c r="AX34" i="4"/>
  <c r="AX33" i="4"/>
  <c r="AX32" i="4"/>
  <c r="AX31" i="4"/>
  <c r="AX30" i="4"/>
  <c r="AX29" i="4"/>
  <c r="AX28" i="4"/>
  <c r="AX27" i="4"/>
  <c r="AX26" i="4"/>
  <c r="AX25" i="4"/>
  <c r="AX24" i="4"/>
  <c r="AX23" i="4"/>
  <c r="AX22" i="4"/>
  <c r="AX21" i="4"/>
  <c r="AX20" i="4"/>
  <c r="AX19" i="4"/>
  <c r="AX18" i="4"/>
  <c r="AX17" i="4"/>
  <c r="AX16" i="4"/>
  <c r="AX15" i="4"/>
  <c r="AX14" i="4"/>
  <c r="AX13" i="4"/>
  <c r="AX12" i="4"/>
  <c r="AX11" i="4"/>
  <c r="AX10" i="4"/>
  <c r="AX9" i="4"/>
  <c r="AX8" i="4"/>
  <c r="AT18" i="4"/>
  <c r="AT17" i="4"/>
  <c r="AT16" i="4"/>
  <c r="AT15" i="4"/>
  <c r="AT14" i="4"/>
  <c r="AT13" i="4"/>
  <c r="AT12" i="4"/>
  <c r="AT11" i="4"/>
  <c r="AT10" i="4"/>
  <c r="AT9" i="4"/>
  <c r="AT8" i="4"/>
  <c r="AR36" i="4"/>
  <c r="AR35" i="4"/>
  <c r="AR34" i="4"/>
  <c r="AR33" i="4"/>
  <c r="AR32" i="4"/>
  <c r="AR31" i="4"/>
  <c r="AR30" i="4"/>
  <c r="AR29" i="4"/>
  <c r="AR28" i="4"/>
  <c r="AR27" i="4"/>
  <c r="AR26" i="4"/>
  <c r="AR25" i="4"/>
  <c r="AR24" i="4"/>
  <c r="AR23" i="4"/>
  <c r="AR22" i="4"/>
  <c r="AR21" i="4"/>
  <c r="AR20" i="4"/>
  <c r="AR19" i="4"/>
  <c r="AR18" i="4"/>
  <c r="AR17" i="4"/>
  <c r="AR16" i="4"/>
  <c r="AR15" i="4"/>
  <c r="AR14" i="4"/>
  <c r="AR13" i="4"/>
  <c r="AR12" i="4"/>
  <c r="AR11" i="4"/>
  <c r="AR10" i="4"/>
  <c r="AR9" i="4"/>
  <c r="AR8" i="4"/>
  <c r="M36" i="4"/>
  <c r="L36" i="4"/>
  <c r="K36" i="4"/>
  <c r="M35" i="4"/>
  <c r="L35" i="4"/>
  <c r="K35" i="4"/>
  <c r="M34" i="4"/>
  <c r="L34" i="4"/>
  <c r="K34" i="4"/>
  <c r="M33" i="4"/>
  <c r="L33" i="4"/>
  <c r="K33" i="4"/>
  <c r="M32" i="4"/>
  <c r="L32" i="4"/>
  <c r="K32" i="4"/>
  <c r="M31" i="4"/>
  <c r="L31" i="4"/>
  <c r="K31" i="4"/>
  <c r="M30" i="4"/>
  <c r="L30" i="4"/>
  <c r="K30" i="4"/>
  <c r="M29" i="4"/>
  <c r="L29" i="4"/>
  <c r="K29" i="4"/>
  <c r="M28" i="4"/>
  <c r="L28" i="4"/>
  <c r="K28" i="4"/>
  <c r="M27" i="4"/>
  <c r="L27" i="4"/>
  <c r="K27" i="4"/>
  <c r="M26" i="4"/>
  <c r="L26" i="4"/>
  <c r="K26" i="4"/>
  <c r="M25" i="4"/>
  <c r="L25" i="4"/>
  <c r="K25" i="4"/>
  <c r="M24" i="4"/>
  <c r="L24" i="4"/>
  <c r="K24" i="4"/>
  <c r="M23" i="4"/>
  <c r="L23" i="4"/>
  <c r="K23" i="4"/>
  <c r="M22" i="4"/>
  <c r="L22" i="4"/>
  <c r="K22" i="4"/>
  <c r="M21" i="4"/>
  <c r="L21" i="4"/>
  <c r="K21" i="4"/>
  <c r="M20" i="4"/>
  <c r="L20" i="4"/>
  <c r="K20" i="4"/>
  <c r="M19" i="4"/>
  <c r="L19" i="4"/>
  <c r="K19" i="4"/>
  <c r="M18" i="4"/>
  <c r="L18" i="4"/>
  <c r="K18" i="4"/>
  <c r="M17" i="4"/>
  <c r="L17" i="4"/>
  <c r="K17" i="4"/>
  <c r="M16" i="4"/>
  <c r="L16" i="4"/>
  <c r="K16" i="4"/>
  <c r="M15" i="4"/>
  <c r="L15" i="4"/>
  <c r="K15" i="4"/>
  <c r="M14" i="4"/>
  <c r="L14" i="4"/>
  <c r="K14" i="4"/>
  <c r="M13" i="4"/>
  <c r="L13" i="4"/>
  <c r="K13" i="4"/>
  <c r="M12" i="4"/>
  <c r="L12" i="4"/>
  <c r="K12" i="4"/>
  <c r="M11" i="4"/>
  <c r="L11" i="4"/>
  <c r="K11" i="4"/>
  <c r="M10" i="4"/>
  <c r="L10" i="4"/>
  <c r="K10" i="4"/>
  <c r="M9" i="4"/>
  <c r="L9" i="4"/>
  <c r="K9" i="4"/>
  <c r="M8" i="4"/>
  <c r="L8" i="4"/>
  <c r="K8" i="4"/>
  <c r="F28" i="4"/>
  <c r="E28" i="4"/>
  <c r="D28" i="4"/>
  <c r="F27" i="4"/>
  <c r="E27" i="4"/>
  <c r="D27" i="4"/>
  <c r="F26" i="4"/>
  <c r="E26" i="4"/>
  <c r="D26" i="4"/>
  <c r="F25" i="4"/>
  <c r="E25" i="4"/>
  <c r="D25" i="4"/>
  <c r="F24" i="4"/>
  <c r="E24" i="4"/>
  <c r="D24" i="4"/>
  <c r="F23" i="4"/>
  <c r="E23" i="4"/>
  <c r="D23" i="4"/>
  <c r="F22" i="4"/>
  <c r="E22" i="4"/>
  <c r="D22" i="4"/>
  <c r="F21" i="4"/>
  <c r="E21" i="4"/>
  <c r="D21" i="4"/>
  <c r="F20" i="4"/>
  <c r="E20" i="4"/>
  <c r="D20" i="4"/>
  <c r="F19" i="4"/>
  <c r="E19" i="4"/>
  <c r="D19" i="4"/>
  <c r="F18" i="4"/>
  <c r="E18" i="4"/>
  <c r="D18" i="4"/>
  <c r="F17" i="4"/>
  <c r="E17" i="4"/>
  <c r="D17" i="4"/>
  <c r="F16" i="4"/>
  <c r="E16" i="4"/>
  <c r="D16" i="4"/>
  <c r="F15" i="4"/>
  <c r="E15" i="4"/>
  <c r="D15" i="4"/>
  <c r="F14" i="4"/>
  <c r="E14" i="4"/>
  <c r="D14" i="4"/>
  <c r="F13" i="4"/>
  <c r="E13" i="4"/>
  <c r="D13" i="4"/>
  <c r="F12" i="4"/>
  <c r="E12" i="4"/>
  <c r="D12" i="4"/>
  <c r="F11" i="4"/>
  <c r="E11" i="4"/>
  <c r="D11" i="4"/>
  <c r="F10" i="4"/>
  <c r="E10" i="4"/>
  <c r="D10" i="4"/>
  <c r="F9" i="4"/>
  <c r="E9" i="4"/>
  <c r="D9" i="4"/>
  <c r="F8" i="4"/>
  <c r="E8" i="4"/>
  <c r="D8" i="4"/>
  <c r="P11" i="4"/>
  <c r="AW10" i="4"/>
  <c r="AW11" i="4" s="1"/>
  <c r="AQ10" i="4"/>
  <c r="V10" i="4"/>
  <c r="V11" i="4" s="1"/>
  <c r="AW9" i="4"/>
  <c r="AQ9" i="4"/>
  <c r="AM9" i="4"/>
  <c r="AM10" i="4" s="1"/>
  <c r="AJ9" i="4"/>
  <c r="AE9" i="4"/>
  <c r="AE10" i="4" s="1"/>
  <c r="AC9" i="4"/>
  <c r="X9" i="4"/>
  <c r="V9" i="4"/>
  <c r="R9" i="4"/>
  <c r="P9" i="4"/>
  <c r="P10" i="4" s="1"/>
  <c r="J9" i="4"/>
  <c r="J10" i="4" s="1"/>
  <c r="C9" i="4"/>
  <c r="B10" i="3" l="1"/>
  <c r="B11" i="3" s="1"/>
  <c r="C38" i="3" s="1"/>
  <c r="X10" i="4"/>
  <c r="AQ11" i="4"/>
  <c r="AQ12" i="4" s="1"/>
  <c r="AC10" i="4"/>
  <c r="AC11" i="4" s="1"/>
  <c r="C10" i="4"/>
  <c r="AJ10" i="4"/>
  <c r="V12" i="4"/>
  <c r="AQ13" i="4"/>
  <c r="J11" i="4"/>
  <c r="AE11" i="4"/>
  <c r="P12" i="4"/>
  <c r="AW12" i="4"/>
  <c r="R10" i="4"/>
  <c r="AM11" i="4"/>
  <c r="I30" i="3" l="1"/>
  <c r="I23" i="3"/>
  <c r="F21" i="3"/>
  <c r="G21" i="3" s="1"/>
  <c r="J21" i="3" s="1"/>
  <c r="G20" i="3"/>
  <c r="J20" i="3" s="1"/>
  <c r="F30" i="3"/>
  <c r="J30" i="3" s="1"/>
  <c r="F23" i="3"/>
  <c r="G23" i="3" s="1"/>
  <c r="J23" i="3" s="1"/>
  <c r="I20" i="3"/>
  <c r="I19" i="3"/>
  <c r="I29" i="3"/>
  <c r="I22" i="3"/>
  <c r="F29" i="3"/>
  <c r="J29" i="3" s="1"/>
  <c r="F22" i="3"/>
  <c r="G22" i="3" s="1"/>
  <c r="J22" i="3" s="1"/>
  <c r="I28" i="3"/>
  <c r="I25" i="3"/>
  <c r="F28" i="3"/>
  <c r="J28" i="3" s="1"/>
  <c r="I21" i="3"/>
  <c r="I27" i="3"/>
  <c r="F27" i="3"/>
  <c r="J27" i="3" s="1"/>
  <c r="I26" i="3"/>
  <c r="F26" i="3"/>
  <c r="J26" i="3" s="1"/>
  <c r="G19" i="3"/>
  <c r="J19" i="3" s="1"/>
  <c r="F25" i="3"/>
  <c r="G25" i="3" s="1"/>
  <c r="J25" i="3" s="1"/>
  <c r="I24" i="3"/>
  <c r="F24" i="3"/>
  <c r="C35" i="3"/>
  <c r="F38" i="3"/>
  <c r="J38" i="3" s="1"/>
  <c r="C33" i="3"/>
  <c r="E35" i="3"/>
  <c r="E34" i="3"/>
  <c r="E33" i="3"/>
  <c r="C34" i="3"/>
  <c r="C11" i="4"/>
  <c r="AC12" i="4"/>
  <c r="X11" i="4"/>
  <c r="C12" i="4"/>
  <c r="AQ14" i="4"/>
  <c r="AW13" i="4"/>
  <c r="V13" i="4"/>
  <c r="P13" i="4"/>
  <c r="AE12" i="4"/>
  <c r="AM12" i="4"/>
  <c r="AJ11" i="4"/>
  <c r="R11" i="4"/>
  <c r="J12" i="4"/>
  <c r="F34" i="3" l="1"/>
  <c r="F33" i="3"/>
  <c r="J33" i="3" s="1"/>
  <c r="F35" i="3"/>
  <c r="X12" i="4"/>
  <c r="AC13" i="4"/>
  <c r="AJ12" i="4"/>
  <c r="P14" i="4"/>
  <c r="J13" i="4"/>
  <c r="R12" i="4"/>
  <c r="V14" i="4"/>
  <c r="AW14" i="4"/>
  <c r="AQ15" i="4"/>
  <c r="C13" i="4"/>
  <c r="AM13" i="4"/>
  <c r="AE13" i="4"/>
  <c r="AC14" i="4" l="1"/>
  <c r="X13" i="4"/>
  <c r="V15" i="4"/>
  <c r="AM14" i="4"/>
  <c r="R13" i="4"/>
  <c r="P15" i="4"/>
  <c r="AQ16" i="4"/>
  <c r="AJ13" i="4"/>
  <c r="AW15" i="4"/>
  <c r="AE14" i="4"/>
  <c r="J14" i="4"/>
  <c r="C14" i="4"/>
  <c r="X14" i="4" l="1"/>
  <c r="AC15" i="4"/>
  <c r="C15" i="4"/>
  <c r="AQ17" i="4"/>
  <c r="P16" i="4"/>
  <c r="J15" i="4"/>
  <c r="R14" i="4"/>
  <c r="AE15" i="4"/>
  <c r="AM15" i="4"/>
  <c r="V16" i="4"/>
  <c r="AW16" i="4"/>
  <c r="AJ14" i="4"/>
  <c r="AC16" i="4" l="1"/>
  <c r="X15" i="4"/>
  <c r="AJ15" i="4"/>
  <c r="R15" i="4"/>
  <c r="J16" i="4"/>
  <c r="AW17" i="4"/>
  <c r="V17" i="4"/>
  <c r="P17" i="4"/>
  <c r="AQ18" i="4"/>
  <c r="AM16" i="4"/>
  <c r="AE16" i="4"/>
  <c r="C16" i="4"/>
  <c r="X16" i="4" l="1"/>
  <c r="AC17" i="4"/>
  <c r="AW18" i="4"/>
  <c r="C17" i="4"/>
  <c r="J17" i="4"/>
  <c r="AE17" i="4"/>
  <c r="AM17" i="4"/>
  <c r="AQ19" i="4"/>
  <c r="R16" i="4"/>
  <c r="P18" i="4"/>
  <c r="V18" i="4"/>
  <c r="AJ16" i="4"/>
  <c r="X17" i="4" l="1"/>
  <c r="AC18" i="4"/>
  <c r="AM18" i="4"/>
  <c r="V19" i="4"/>
  <c r="AE18" i="4"/>
  <c r="P19" i="4"/>
  <c r="J18" i="4"/>
  <c r="R17" i="4"/>
  <c r="C18" i="4"/>
  <c r="AQ20" i="4"/>
  <c r="AJ17" i="4"/>
  <c r="AW19" i="4"/>
  <c r="AC19" i="4" l="1"/>
  <c r="X18" i="4"/>
  <c r="J19" i="4"/>
  <c r="AJ18" i="4"/>
  <c r="P20" i="4"/>
  <c r="AQ21" i="4"/>
  <c r="AE19" i="4"/>
  <c r="V20" i="4"/>
  <c r="AM19" i="4"/>
  <c r="AW20" i="4"/>
  <c r="R18" i="4"/>
  <c r="C19" i="4"/>
  <c r="X19" i="4" l="1"/>
  <c r="AC20" i="4"/>
  <c r="R19" i="4"/>
  <c r="AE20" i="4"/>
  <c r="AQ22" i="4"/>
  <c r="P21" i="4"/>
  <c r="AW21" i="4"/>
  <c r="AJ19" i="4"/>
  <c r="AM20" i="4"/>
  <c r="C20" i="4"/>
  <c r="V21" i="4"/>
  <c r="J20" i="4"/>
  <c r="X20" i="4" l="1"/>
  <c r="AC21" i="4"/>
  <c r="J21" i="4"/>
  <c r="AJ20" i="4"/>
  <c r="V22" i="4"/>
  <c r="C21" i="4"/>
  <c r="AW22" i="4"/>
  <c r="P22" i="4"/>
  <c r="AQ23" i="4"/>
  <c r="AM21" i="4"/>
  <c r="AE21" i="4"/>
  <c r="R20" i="4"/>
  <c r="AC22" i="4" l="1"/>
  <c r="X21" i="4"/>
  <c r="C22" i="4"/>
  <c r="AE22" i="4"/>
  <c r="AM22" i="4"/>
  <c r="V23" i="4"/>
  <c r="AQ24" i="4"/>
  <c r="AJ21" i="4"/>
  <c r="P23" i="4"/>
  <c r="J22" i="4"/>
  <c r="R21" i="4"/>
  <c r="AW23" i="4"/>
  <c r="X22" i="4" l="1"/>
  <c r="AC23" i="4"/>
  <c r="V24" i="4"/>
  <c r="AW24" i="4"/>
  <c r="AQ25" i="4"/>
  <c r="R22" i="4"/>
  <c r="AM23" i="4"/>
  <c r="J23" i="4"/>
  <c r="P24" i="4"/>
  <c r="AE23" i="4"/>
  <c r="AJ22" i="4"/>
  <c r="C23" i="4"/>
  <c r="AC24" i="4" l="1"/>
  <c r="X23" i="4"/>
  <c r="J24" i="4"/>
  <c r="C24" i="4"/>
  <c r="AJ23" i="4"/>
  <c r="AM24" i="4"/>
  <c r="R23" i="4"/>
  <c r="AE24" i="4"/>
  <c r="AQ26" i="4"/>
  <c r="AW25" i="4"/>
  <c r="P25" i="4"/>
  <c r="V25" i="4"/>
  <c r="X24" i="4" l="1"/>
  <c r="AC25" i="4"/>
  <c r="P26" i="4"/>
  <c r="AQ27" i="4"/>
  <c r="AE25" i="4"/>
  <c r="AJ24" i="4"/>
  <c r="AW26" i="4"/>
  <c r="C25" i="4"/>
  <c r="R24" i="4"/>
  <c r="V26" i="4"/>
  <c r="AM25" i="4"/>
  <c r="J25" i="4"/>
  <c r="AC26" i="4" l="1"/>
  <c r="X25" i="4"/>
  <c r="AW27" i="4"/>
  <c r="AM26" i="4"/>
  <c r="AJ25" i="4"/>
  <c r="V27" i="4"/>
  <c r="R25" i="4"/>
  <c r="AE26" i="4"/>
  <c r="AQ28" i="4"/>
  <c r="C26" i="4"/>
  <c r="J26" i="4"/>
  <c r="P27" i="4"/>
  <c r="X26" i="4" l="1"/>
  <c r="AC27" i="4"/>
  <c r="R26" i="4"/>
  <c r="J27" i="4"/>
  <c r="V28" i="4"/>
  <c r="C27" i="4"/>
  <c r="AJ26" i="4"/>
  <c r="AQ29" i="4"/>
  <c r="AM27" i="4"/>
  <c r="AW28" i="4"/>
  <c r="P28" i="4"/>
  <c r="AE27" i="4"/>
  <c r="AC28" i="4" l="1"/>
  <c r="X27" i="4"/>
  <c r="V29" i="4"/>
  <c r="P29" i="4"/>
  <c r="AM28" i="4"/>
  <c r="C28" i="4"/>
  <c r="AQ30" i="4"/>
  <c r="R27" i="4"/>
  <c r="AE28" i="4"/>
  <c r="J28" i="4"/>
  <c r="AJ27" i="4"/>
  <c r="AW29" i="4"/>
  <c r="X28" i="4" l="1"/>
  <c r="AC29" i="4"/>
  <c r="AW30" i="4"/>
  <c r="AQ31" i="4"/>
  <c r="AJ28" i="4"/>
  <c r="AM29" i="4"/>
  <c r="J29" i="4"/>
  <c r="P30" i="4"/>
  <c r="AE29" i="4"/>
  <c r="R28" i="4"/>
  <c r="V30" i="4"/>
  <c r="AC30" i="4" l="1"/>
  <c r="X29" i="4"/>
  <c r="R29" i="4"/>
  <c r="AM30" i="4"/>
  <c r="AE30" i="4"/>
  <c r="AJ29" i="4"/>
  <c r="P31" i="4"/>
  <c r="AQ32" i="4"/>
  <c r="J30" i="4"/>
  <c r="AW31" i="4"/>
  <c r="V31" i="4"/>
  <c r="AC31" i="4" l="1"/>
  <c r="X30" i="4"/>
  <c r="AQ33" i="4"/>
  <c r="P32" i="4"/>
  <c r="AJ30" i="4"/>
  <c r="V32" i="4"/>
  <c r="AW32" i="4"/>
  <c r="AE31" i="4"/>
  <c r="J31" i="4"/>
  <c r="AM31" i="4"/>
  <c r="R30" i="4"/>
  <c r="X31" i="4" l="1"/>
  <c r="AC32" i="4"/>
  <c r="V33" i="4"/>
  <c r="AJ31" i="4"/>
  <c r="AW33" i="4"/>
  <c r="AM32" i="4"/>
  <c r="P33" i="4"/>
  <c r="J32" i="4"/>
  <c r="AQ34" i="4"/>
  <c r="AE32" i="4"/>
  <c r="R31" i="4"/>
  <c r="AC33" i="4" l="1"/>
  <c r="X32" i="4"/>
  <c r="J33" i="4"/>
  <c r="P34" i="4"/>
  <c r="AM33" i="4"/>
  <c r="AW34" i="4"/>
  <c r="R32" i="4"/>
  <c r="AE33" i="4"/>
  <c r="AJ32" i="4"/>
  <c r="AQ35" i="4"/>
  <c r="V34" i="4"/>
  <c r="X33" i="4" l="1"/>
  <c r="AC34" i="4"/>
  <c r="AJ33" i="4"/>
  <c r="AE34" i="4"/>
  <c r="V35" i="4"/>
  <c r="AW35" i="4"/>
  <c r="AQ36" i="4"/>
  <c r="AM34" i="4"/>
  <c r="P35" i="4"/>
  <c r="R33" i="4"/>
  <c r="J34" i="4"/>
  <c r="AC35" i="4" l="1"/>
  <c r="X34" i="4"/>
  <c r="AW36" i="4"/>
  <c r="AS8" i="4"/>
  <c r="V36" i="4"/>
  <c r="AJ34" i="4"/>
  <c r="AM35" i="4"/>
  <c r="J35" i="4"/>
  <c r="R34" i="4"/>
  <c r="AE35" i="4"/>
  <c r="P36" i="4"/>
  <c r="X35" i="4" l="1"/>
  <c r="AC36" i="4"/>
  <c r="AE36" i="4"/>
  <c r="AJ35" i="4"/>
  <c r="AM36" i="4"/>
  <c r="R35" i="4"/>
  <c r="AY8" i="4"/>
  <c r="AS9" i="4"/>
  <c r="X36" i="4" l="1"/>
  <c r="AY9" i="4"/>
  <c r="R36" i="4"/>
  <c r="AS10" i="4"/>
  <c r="AJ36" i="4"/>
  <c r="AS11" i="4" l="1"/>
  <c r="AY10" i="4"/>
  <c r="AY11" i="4" l="1"/>
  <c r="AS12" i="4"/>
  <c r="AS13" i="4" l="1"/>
  <c r="AY12" i="4"/>
  <c r="AS14" i="4" l="1"/>
  <c r="AY13" i="4"/>
  <c r="AY14" i="4" l="1"/>
  <c r="AS15" i="4"/>
  <c r="AY15" i="4" l="1"/>
  <c r="AS16" i="4"/>
  <c r="AS17" i="4" l="1"/>
  <c r="AY16" i="4"/>
  <c r="AS18" i="4" l="1"/>
  <c r="AY17" i="4"/>
  <c r="AY18" i="4" l="1"/>
  <c r="AY19" i="4" l="1"/>
  <c r="AY20" i="4" l="1"/>
  <c r="AY21" i="4" l="1"/>
  <c r="AY22" i="4" l="1"/>
  <c r="AY23" i="4" l="1"/>
  <c r="AY24" i="4" l="1"/>
  <c r="AY25" i="4" l="1"/>
  <c r="AY26" i="4" l="1"/>
  <c r="AY27" i="4" l="1"/>
  <c r="AY28" i="4" l="1"/>
  <c r="AY29" i="4" l="1"/>
  <c r="AY30" i="4" l="1"/>
  <c r="AY31" i="4" l="1"/>
  <c r="AY32" i="4" l="1"/>
  <c r="AY33" i="4" l="1"/>
  <c r="AY34" i="4" l="1"/>
  <c r="AY35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Patrick Corbeil</author>
  </authors>
  <commentList>
    <comment ref="B19" authorId="0" shapeId="0" xr:uid="{E612C83D-1FA0-4372-88B2-710E1B622071}">
      <text>
        <r>
          <rPr>
            <sz val="9"/>
            <color indexed="81"/>
            <rFont val="Tahoma"/>
            <family val="2"/>
          </rPr>
          <t>Financement Promotionel du 30 avril au 27 mai 2025</t>
        </r>
      </text>
    </comment>
  </commentList>
</comments>
</file>

<file path=xl/sharedStrings.xml><?xml version="1.0" encoding="utf-8"?>
<sst xmlns="http://schemas.openxmlformats.org/spreadsheetml/2006/main" count="84" uniqueCount="56">
  <si>
    <t>PAIEMENT</t>
  </si>
  <si>
    <t>Plan 36369</t>
  </si>
  <si>
    <t>Plan 36485</t>
  </si>
  <si>
    <t>Plan 36602</t>
  </si>
  <si>
    <t>Plan 18363 (36 mois) et 18483 (48 mois)</t>
  </si>
  <si>
    <t>TERME</t>
  </si>
  <si>
    <t>MENSUEL</t>
  </si>
  <si>
    <t>2 SEMAINES</t>
  </si>
  <si>
    <t>1 SEMAINE</t>
  </si>
  <si>
    <t>FIXE</t>
  </si>
  <si>
    <t xml:space="preserve"> + 1,000$</t>
  </si>
  <si>
    <t>+ 1000$</t>
  </si>
  <si>
    <t>Options de Financement</t>
  </si>
  <si>
    <t>Montant d'achat</t>
  </si>
  <si>
    <t>TPS</t>
  </si>
  <si>
    <t>TVQ</t>
  </si>
  <si>
    <t>Montant a Financer</t>
  </si>
  <si>
    <t>Option de Financement</t>
  </si>
  <si>
    <t>Plan</t>
  </si>
  <si>
    <t>Terme</t>
  </si>
  <si>
    <t>Fréquence</t>
  </si>
  <si>
    <t>Taux Annuel</t>
  </si>
  <si>
    <t>Paiement</t>
  </si>
  <si>
    <t>Solde a terme</t>
  </si>
  <si>
    <t>Commerçant</t>
  </si>
  <si>
    <t>Coût Commerçant</t>
  </si>
  <si>
    <t>Coût Conso</t>
  </si>
  <si>
    <t>Fairstone</t>
  </si>
  <si>
    <t>12 mois pas de Paiement/ Pas d'intéret(CAN)</t>
  </si>
  <si>
    <t>Aucun</t>
  </si>
  <si>
    <t>24 mois pas de Paiement/ Pas d'intéret(CAN)</t>
  </si>
  <si>
    <t>3 Mois Option Comptant</t>
  </si>
  <si>
    <t>Mensuel</t>
  </si>
  <si>
    <t>6 Mois Option Comptant</t>
  </si>
  <si>
    <t>12 Mois Option Comptant</t>
  </si>
  <si>
    <t>24 Mois Option Comptant</t>
  </si>
  <si>
    <t>36 Payments égaux sans intérêt</t>
  </si>
  <si>
    <t>36 Payments égaux avec intérêt</t>
  </si>
  <si>
    <t>48 Payments égaux avec intérêt</t>
  </si>
  <si>
    <t>60 Payments égaux avec intérêt</t>
  </si>
  <si>
    <t>BNC</t>
  </si>
  <si>
    <t>Taux Fixe paiement Mensuel</t>
  </si>
  <si>
    <t>N/A</t>
  </si>
  <si>
    <t>Taux Fixe paiement aux 2 semaines</t>
  </si>
  <si>
    <t>2 Semaines</t>
  </si>
  <si>
    <t>Taux Fixe paiement hebdomadaire</t>
  </si>
  <si>
    <t>Hebdomadaire</t>
  </si>
  <si>
    <t>Finance It</t>
  </si>
  <si>
    <t>Taux Fixe</t>
  </si>
  <si>
    <t>FinanceIt</t>
  </si>
  <si>
    <t>From</t>
  </si>
  <si>
    <t>To</t>
  </si>
  <si>
    <t>Taux</t>
  </si>
  <si>
    <t>120 MOIS @ 11.39%</t>
  </si>
  <si>
    <t>120 MOIS @ 10.89%</t>
  </si>
  <si>
    <t>180 MOIS @ 11.49%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</si>
</sst>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 * #,##0.00_)\ &quot;$&quot;_ ;_ * \(#,##0.00\)\ &quot;$&quot;_ ;_ * &quot;-&quot;??_)\ &quot;$&quot;_ ;_ @_ "/>
    <numFmt numFmtId="165" formatCode="_ * #,##0_)\ &quot;$&quot;_ ;_ * \(#,##0\)\ &quot;$&quot;_ ;_ * &quot;-&quot;??_)\ &quot;$&quot;_ ;_ @_ "/>
    <numFmt numFmtId="166" formatCode="_ * #,##0.00_)\ _$_ ;_ * \(#,##0.00\)\ _$_ ;_ * &quot;-&quot;??_)\ _$_ ;_ @_ "/>
    <numFmt numFmtId="167" formatCode="#,##0.00\ &quot;$&quot;_);\(#,##0.00\ &quot;$&quot;\)"/>
    <numFmt numFmtId="168" formatCode="#,##0.00\ &quot;$&quot;"/>
    <numFmt numFmtId="169" formatCode="[$-C0C]d\ mmm\ yyyy;@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2" fillId="11" borderId="0" applyNumberFormat="0" applyBorder="0" applyAlignment="0" applyProtection="0"/>
  </cellStyleXfs>
  <cellXfs count="113">
    <xf numFmtId="0" fontId="0" fillId="0" borderId="0" xfId="0"/>
    <xf numFmtId="10" fontId="0" fillId="0" borderId="0" xfId="2" applyNumberFormat="1" applyFont="1"/>
    <xf numFmtId="0" fontId="3" fillId="0" borderId="0" xfId="0" applyFont="1"/>
    <xf numFmtId="0" fontId="3" fillId="0" borderId="0" xfId="0" applyFont="1" applyAlignment="1">
      <alignment horizontal="right"/>
    </xf>
    <xf numFmtId="10" fontId="3" fillId="0" borderId="0" xfId="2" applyNumberFormat="1" applyFont="1" applyAlignment="1">
      <alignment horizontal="right"/>
    </xf>
    <xf numFmtId="0" fontId="0" fillId="0" borderId="0" xfId="0" applyAlignment="1">
      <alignment horizontal="center"/>
    </xf>
    <xf numFmtId="43" fontId="0" fillId="0" borderId="0" xfId="1" applyFont="1"/>
    <xf numFmtId="0" fontId="0" fillId="0" borderId="0" xfId="1" applyNumberFormat="1" applyFont="1"/>
    <xf numFmtId="0" fontId="0" fillId="0" borderId="7" xfId="0" applyBorder="1"/>
    <xf numFmtId="0" fontId="0" fillId="4" borderId="0" xfId="0" applyFill="1"/>
    <xf numFmtId="165" fontId="0" fillId="4" borderId="0" xfId="4" applyNumberFormat="1" applyFont="1" applyFill="1"/>
    <xf numFmtId="0" fontId="0" fillId="4" borderId="0" xfId="0" applyFill="1" applyAlignment="1">
      <alignment horizontal="center"/>
    </xf>
    <xf numFmtId="164" fontId="0" fillId="4" borderId="0" xfId="4" applyFont="1" applyFill="1" applyBorder="1" applyAlignment="1">
      <alignment horizontal="center"/>
    </xf>
    <xf numFmtId="165" fontId="5" fillId="4" borderId="0" xfId="4" applyNumberFormat="1" applyFont="1" applyFill="1"/>
    <xf numFmtId="0" fontId="6" fillId="0" borderId="0" xfId="0" applyFont="1" applyAlignment="1">
      <alignment horizontal="center"/>
    </xf>
    <xf numFmtId="166" fontId="5" fillId="6" borderId="17" xfId="5" applyFont="1" applyFill="1" applyBorder="1" applyAlignment="1">
      <alignment horizontal="center"/>
    </xf>
    <xf numFmtId="166" fontId="5" fillId="6" borderId="18" xfId="5" applyFont="1" applyFill="1" applyBorder="1" applyAlignment="1">
      <alignment horizontal="center"/>
    </xf>
    <xf numFmtId="166" fontId="5" fillId="6" borderId="19" xfId="5" applyFont="1" applyFill="1" applyBorder="1" applyAlignment="1">
      <alignment horizontal="center"/>
    </xf>
    <xf numFmtId="10" fontId="0" fillId="4" borderId="0" xfId="2" applyNumberFormat="1" applyFont="1" applyFill="1"/>
    <xf numFmtId="166" fontId="0" fillId="6" borderId="17" xfId="5" applyFont="1" applyFill="1" applyBorder="1" applyAlignment="1">
      <alignment horizontal="center"/>
    </xf>
    <xf numFmtId="166" fontId="0" fillId="6" borderId="18" xfId="5" applyFont="1" applyFill="1" applyBorder="1" applyAlignment="1">
      <alignment horizontal="center"/>
    </xf>
    <xf numFmtId="166" fontId="0" fillId="6" borderId="19" xfId="5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0" fontId="0" fillId="4" borderId="0" xfId="0" applyNumberFormat="1" applyFill="1"/>
    <xf numFmtId="0" fontId="5" fillId="7" borderId="17" xfId="0" applyFont="1" applyFill="1" applyBorder="1" applyAlignment="1">
      <alignment horizontal="center"/>
    </xf>
    <xf numFmtId="0" fontId="5" fillId="7" borderId="18" xfId="0" applyFont="1" applyFill="1" applyBorder="1" applyAlignment="1">
      <alignment horizontal="center"/>
    </xf>
    <xf numFmtId="0" fontId="5" fillId="7" borderId="20" xfId="0" applyFont="1" applyFill="1" applyBorder="1" applyAlignment="1">
      <alignment horizontal="center"/>
    </xf>
    <xf numFmtId="0" fontId="5" fillId="8" borderId="17" xfId="0" applyFont="1" applyFill="1" applyBorder="1" applyAlignment="1">
      <alignment horizontal="center"/>
    </xf>
    <xf numFmtId="0" fontId="5" fillId="8" borderId="18" xfId="0" applyFont="1" applyFill="1" applyBorder="1" applyAlignment="1">
      <alignment horizontal="center"/>
    </xf>
    <xf numFmtId="0" fontId="5" fillId="8" borderId="20" xfId="0" applyFont="1" applyFill="1" applyBorder="1" applyAlignment="1">
      <alignment horizontal="center"/>
    </xf>
    <xf numFmtId="165" fontId="4" fillId="10" borderId="10" xfId="4" applyNumberFormat="1" applyFont="1" applyFill="1" applyBorder="1"/>
    <xf numFmtId="164" fontId="5" fillId="0" borderId="10" xfId="4" applyFont="1" applyBorder="1" applyAlignment="1">
      <alignment horizontal="center"/>
    </xf>
    <xf numFmtId="164" fontId="5" fillId="0" borderId="11" xfId="4" applyFont="1" applyBorder="1" applyAlignment="1">
      <alignment horizontal="center"/>
    </xf>
    <xf numFmtId="167" fontId="5" fillId="0" borderId="24" xfId="0" applyNumberFormat="1" applyFont="1" applyBorder="1" applyAlignment="1">
      <alignment horizontal="center"/>
    </xf>
    <xf numFmtId="165" fontId="4" fillId="7" borderId="12" xfId="4" applyNumberFormat="1" applyFont="1" applyFill="1" applyBorder="1"/>
    <xf numFmtId="165" fontId="4" fillId="7" borderId="23" xfId="4" applyNumberFormat="1" applyFont="1" applyFill="1" applyBorder="1"/>
    <xf numFmtId="168" fontId="5" fillId="0" borderId="10" xfId="0" applyNumberFormat="1" applyFont="1" applyBorder="1" applyAlignment="1">
      <alignment horizontal="center"/>
    </xf>
    <xf numFmtId="167" fontId="5" fillId="0" borderId="23" xfId="0" applyNumberFormat="1" applyFont="1" applyBorder="1" applyAlignment="1">
      <alignment horizontal="center"/>
    </xf>
    <xf numFmtId="167" fontId="5" fillId="0" borderId="10" xfId="0" applyNumberFormat="1" applyFont="1" applyBorder="1" applyAlignment="1">
      <alignment horizontal="center"/>
    </xf>
    <xf numFmtId="167" fontId="5" fillId="0" borderId="11" xfId="0" applyNumberFormat="1" applyFont="1" applyBorder="1" applyAlignment="1">
      <alignment horizontal="center"/>
    </xf>
    <xf numFmtId="165" fontId="4" fillId="8" borderId="12" xfId="4" applyNumberFormat="1" applyFont="1" applyFill="1" applyBorder="1"/>
    <xf numFmtId="167" fontId="5" fillId="0" borderId="25" xfId="0" applyNumberFormat="1" applyFont="1" applyBorder="1" applyAlignment="1">
      <alignment horizontal="center"/>
    </xf>
    <xf numFmtId="165" fontId="4" fillId="8" borderId="26" xfId="4" applyNumberFormat="1" applyFont="1" applyFill="1" applyBorder="1"/>
    <xf numFmtId="165" fontId="4" fillId="10" borderId="2" xfId="4" applyNumberFormat="1" applyFont="1" applyFill="1" applyBorder="1"/>
    <xf numFmtId="164" fontId="5" fillId="0" borderId="2" xfId="4" applyFont="1" applyBorder="1" applyAlignment="1">
      <alignment horizontal="center"/>
    </xf>
    <xf numFmtId="164" fontId="5" fillId="0" borderId="29" xfId="4" applyFont="1" applyBorder="1" applyAlignment="1">
      <alignment horizontal="center"/>
    </xf>
    <xf numFmtId="165" fontId="4" fillId="7" borderId="26" xfId="4" applyNumberFormat="1" applyFont="1" applyFill="1" applyBorder="1"/>
    <xf numFmtId="165" fontId="4" fillId="7" borderId="30" xfId="4" applyNumberFormat="1" applyFont="1" applyFill="1" applyBorder="1"/>
    <xf numFmtId="168" fontId="5" fillId="0" borderId="2" xfId="0" applyNumberFormat="1" applyFont="1" applyBorder="1" applyAlignment="1">
      <alignment horizontal="center"/>
    </xf>
    <xf numFmtId="167" fontId="5" fillId="0" borderId="30" xfId="0" applyNumberFormat="1" applyFont="1" applyBorder="1" applyAlignment="1">
      <alignment horizontal="center"/>
    </xf>
    <xf numFmtId="167" fontId="5" fillId="0" borderId="2" xfId="0" applyNumberFormat="1" applyFont="1" applyBorder="1" applyAlignment="1">
      <alignment horizontal="center"/>
    </xf>
    <xf numFmtId="167" fontId="5" fillId="0" borderId="29" xfId="0" applyNumberFormat="1" applyFont="1" applyBorder="1" applyAlignment="1">
      <alignment horizontal="center"/>
    </xf>
    <xf numFmtId="165" fontId="4" fillId="10" borderId="18" xfId="4" applyNumberFormat="1" applyFont="1" applyFill="1" applyBorder="1"/>
    <xf numFmtId="165" fontId="0" fillId="0" borderId="0" xfId="4" applyNumberFormat="1" applyFont="1"/>
    <xf numFmtId="165" fontId="10" fillId="10" borderId="18" xfId="4" quotePrefix="1" applyNumberFormat="1" applyFont="1" applyFill="1" applyBorder="1"/>
    <xf numFmtId="165" fontId="4" fillId="7" borderId="36" xfId="4" applyNumberFormat="1" applyFont="1" applyFill="1" applyBorder="1"/>
    <xf numFmtId="165" fontId="4" fillId="7" borderId="20" xfId="4" applyNumberFormat="1" applyFont="1" applyFill="1" applyBorder="1"/>
    <xf numFmtId="168" fontId="5" fillId="0" borderId="18" xfId="0" applyNumberFormat="1" applyFont="1" applyBorder="1" applyAlignment="1">
      <alignment horizontal="center"/>
    </xf>
    <xf numFmtId="167" fontId="5" fillId="0" borderId="20" xfId="0" applyNumberFormat="1" applyFont="1" applyBorder="1" applyAlignment="1">
      <alignment horizontal="center"/>
    </xf>
    <xf numFmtId="167" fontId="5" fillId="0" borderId="18" xfId="0" applyNumberFormat="1" applyFont="1" applyBorder="1" applyAlignment="1">
      <alignment horizontal="center"/>
    </xf>
    <xf numFmtId="167" fontId="5" fillId="0" borderId="19" xfId="0" applyNumberFormat="1" applyFont="1" applyBorder="1" applyAlignment="1">
      <alignment horizontal="center"/>
    </xf>
    <xf numFmtId="165" fontId="4" fillId="8" borderId="36" xfId="4" applyNumberFormat="1" applyFont="1" applyFill="1" applyBorder="1"/>
    <xf numFmtId="165" fontId="4" fillId="8" borderId="36" xfId="4" quotePrefix="1" applyNumberFormat="1" applyFont="1" applyFill="1" applyBorder="1"/>
    <xf numFmtId="0" fontId="11" fillId="4" borderId="0" xfId="0" applyFont="1" applyFill="1"/>
    <xf numFmtId="43" fontId="3" fillId="0" borderId="37" xfId="1" applyFont="1" applyBorder="1"/>
    <xf numFmtId="10" fontId="3" fillId="0" borderId="0" xfId="2" applyNumberFormat="1" applyFont="1"/>
    <xf numFmtId="0" fontId="13" fillId="0" borderId="0" xfId="0" applyFont="1"/>
    <xf numFmtId="43" fontId="3" fillId="0" borderId="0" xfId="1" applyFont="1"/>
    <xf numFmtId="0" fontId="3" fillId="0" borderId="8" xfId="0" applyFont="1" applyBorder="1"/>
    <xf numFmtId="0" fontId="3" fillId="0" borderId="0" xfId="0" applyFont="1" applyAlignment="1">
      <alignment wrapText="1"/>
    </xf>
    <xf numFmtId="10" fontId="12" fillId="11" borderId="3" xfId="6" applyNumberFormat="1" applyBorder="1" applyAlignment="1">
      <alignment horizontal="right" wrapText="1"/>
    </xf>
    <xf numFmtId="43" fontId="12" fillId="11" borderId="4" xfId="6" applyNumberFormat="1" applyBorder="1" applyAlignment="1">
      <alignment horizontal="right" wrapText="1"/>
    </xf>
    <xf numFmtId="43" fontId="12" fillId="11" borderId="5" xfId="6" applyNumberFormat="1" applyBorder="1" applyAlignment="1">
      <alignment horizontal="right" wrapText="1"/>
    </xf>
    <xf numFmtId="10" fontId="0" fillId="0" borderId="6" xfId="2" applyNumberFormat="1" applyFont="1" applyBorder="1"/>
    <xf numFmtId="43" fontId="0" fillId="0" borderId="0" xfId="1" applyFont="1" applyBorder="1"/>
    <xf numFmtId="43" fontId="0" fillId="0" borderId="7" xfId="0" applyNumberFormat="1" applyBorder="1"/>
    <xf numFmtId="0" fontId="3" fillId="3" borderId="38" xfId="0" applyFont="1" applyFill="1" applyBorder="1" applyAlignment="1">
      <alignment wrapText="1"/>
    </xf>
    <xf numFmtId="0" fontId="3" fillId="3" borderId="39" xfId="0" applyFont="1" applyFill="1" applyBorder="1" applyAlignment="1">
      <alignment horizontal="center" wrapText="1"/>
    </xf>
    <xf numFmtId="10" fontId="3" fillId="3" borderId="39" xfId="2" applyNumberFormat="1" applyFont="1" applyFill="1" applyBorder="1" applyAlignment="1">
      <alignment horizontal="right" wrapText="1"/>
    </xf>
    <xf numFmtId="43" fontId="3" fillId="3" borderId="39" xfId="1" applyFont="1" applyFill="1" applyBorder="1" applyAlignment="1">
      <alignment horizontal="right" wrapText="1"/>
    </xf>
    <xf numFmtId="43" fontId="3" fillId="3" borderId="40" xfId="1" applyFont="1" applyFill="1" applyBorder="1" applyAlignment="1">
      <alignment horizontal="right" wrapText="1"/>
    </xf>
    <xf numFmtId="43" fontId="14" fillId="0" borderId="0" xfId="1" applyFont="1"/>
    <xf numFmtId="43" fontId="2" fillId="2" borderId="1" xfId="3" applyNumberFormat="1" applyProtection="1">
      <protection locked="0"/>
    </xf>
    <xf numFmtId="0" fontId="0" fillId="12" borderId="0" xfId="0" applyFill="1" applyAlignment="1">
      <alignment horizontal="center"/>
    </xf>
    <xf numFmtId="169" fontId="14" fillId="0" borderId="0" xfId="0" applyNumberFormat="1" applyFont="1" applyAlignment="1">
      <alignment horizontal="left"/>
    </xf>
    <xf numFmtId="10" fontId="9" fillId="9" borderId="21" xfId="0" applyNumberFormat="1" applyFont="1" applyFill="1" applyBorder="1" applyAlignment="1">
      <alignment horizontal="center" vertical="center" textRotation="90"/>
    </xf>
    <xf numFmtId="10" fontId="9" fillId="9" borderId="27" xfId="0" applyNumberFormat="1" applyFont="1" applyFill="1" applyBorder="1" applyAlignment="1">
      <alignment horizontal="center" vertical="center" textRotation="90"/>
    </xf>
    <xf numFmtId="10" fontId="9" fillId="9" borderId="35" xfId="0" applyNumberFormat="1" applyFont="1" applyFill="1" applyBorder="1" applyAlignment="1">
      <alignment horizontal="center" vertical="center" textRotation="90"/>
    </xf>
    <xf numFmtId="0" fontId="8" fillId="9" borderId="32" xfId="0" applyFont="1" applyFill="1" applyBorder="1" applyAlignment="1">
      <alignment horizontal="center" vertical="center" textRotation="90"/>
    </xf>
    <xf numFmtId="0" fontId="8" fillId="9" borderId="28" xfId="0" applyFont="1" applyFill="1" applyBorder="1" applyAlignment="1">
      <alignment horizontal="center" vertical="center" textRotation="90"/>
    </xf>
    <xf numFmtId="0" fontId="8" fillId="9" borderId="31" xfId="0" applyFont="1" applyFill="1" applyBorder="1" applyAlignment="1">
      <alignment horizontal="center" vertical="center" textRotation="90"/>
    </xf>
    <xf numFmtId="0" fontId="9" fillId="9" borderId="22" xfId="0" applyFont="1" applyFill="1" applyBorder="1" applyAlignment="1">
      <alignment horizontal="center" vertical="center" textRotation="90"/>
    </xf>
    <xf numFmtId="0" fontId="9" fillId="9" borderId="28" xfId="0" applyFont="1" applyFill="1" applyBorder="1" applyAlignment="1">
      <alignment horizontal="center" vertical="center" textRotation="90"/>
    </xf>
    <xf numFmtId="0" fontId="9" fillId="9" borderId="34" xfId="0" applyFont="1" applyFill="1" applyBorder="1" applyAlignment="1">
      <alignment horizontal="center" vertical="center" textRotation="90"/>
    </xf>
    <xf numFmtId="0" fontId="6" fillId="5" borderId="14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6" fillId="5" borderId="16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7" fillId="9" borderId="21" xfId="0" applyFont="1" applyFill="1" applyBorder="1" applyAlignment="1">
      <alignment horizontal="center" vertical="center" textRotation="90"/>
    </xf>
    <xf numFmtId="0" fontId="7" fillId="9" borderId="27" xfId="0" applyFont="1" applyFill="1" applyBorder="1" applyAlignment="1">
      <alignment horizontal="center" vertical="center" textRotation="90"/>
    </xf>
    <xf numFmtId="0" fontId="7" fillId="9" borderId="33" xfId="0" applyFont="1" applyFill="1" applyBorder="1" applyAlignment="1">
      <alignment horizontal="center" vertical="center" textRotation="90"/>
    </xf>
    <xf numFmtId="0" fontId="8" fillId="9" borderId="22" xfId="0" applyFont="1" applyFill="1" applyBorder="1" applyAlignment="1">
      <alignment horizontal="center" vertical="center" textRotation="90"/>
    </xf>
    <xf numFmtId="0" fontId="7" fillId="9" borderId="23" xfId="0" applyFont="1" applyFill="1" applyBorder="1" applyAlignment="1">
      <alignment horizontal="center" vertical="center" textRotation="90"/>
    </xf>
    <xf numFmtId="0" fontId="7" fillId="9" borderId="30" xfId="0" applyFont="1" applyFill="1" applyBorder="1" applyAlignment="1">
      <alignment horizontal="center" vertical="center" textRotation="90"/>
    </xf>
    <xf numFmtId="0" fontId="7" fillId="9" borderId="20" xfId="0" applyFont="1" applyFill="1" applyBorder="1" applyAlignment="1">
      <alignment horizontal="center" vertical="center" textRotation="90"/>
    </xf>
    <xf numFmtId="0" fontId="9" fillId="9" borderId="9" xfId="0" applyFont="1" applyFill="1" applyBorder="1" applyAlignment="1">
      <alignment horizontal="center" vertical="center" textRotation="90"/>
    </xf>
    <xf numFmtId="0" fontId="9" fillId="9" borderId="25" xfId="0" applyFont="1" applyFill="1" applyBorder="1" applyAlignment="1">
      <alignment horizontal="center" vertical="center" textRotation="90"/>
    </xf>
    <xf numFmtId="0" fontId="9" fillId="9" borderId="17" xfId="0" applyFont="1" applyFill="1" applyBorder="1" applyAlignment="1">
      <alignment horizontal="center" vertical="center" textRotation="90"/>
    </xf>
    <xf numFmtId="0" fontId="3" fillId="0" borderId="0" xfId="0" applyFont="1" applyAlignment="1">
      <alignment horizontal="center"/>
    </xf>
  </cellXfs>
  <cellStyles count="7">
    <cellStyle name="Accent3" xfId="6" builtinId="37"/>
    <cellStyle name="Comma" xfId="1" builtinId="3"/>
    <cellStyle name="Comma 2" xfId="5" xr:uid="{5B8D9F39-1C35-4536-A6AB-95FB43B43F7D}"/>
    <cellStyle name="Input" xfId="3" builtinId="20"/>
    <cellStyle name="Monétaire 2" xfId="4" xr:uid="{300CEB2D-D987-44E8-A50D-5046C48216D8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115646</xdr:colOff>
      <xdr:row>0</xdr:row>
      <xdr:rowOff>91441</xdr:rowOff>
    </xdr:from>
    <xdr:to>
      <xdr:col>4</xdr:col>
      <xdr:colOff>497205</xdr:colOff>
      <xdr:row>4</xdr:row>
      <xdr:rowOff>102164</xdr:rowOff>
    </xdr:to>
    <xdr:pic>
      <xdr:nvPicPr>
        <xdr:cNvPr id="2" name="Image 1" descr="https://www.jobgo.ca/corpprof/banque-nationale/images/BN_FR.jpg">
          <a:extLst>
            <a:ext uri="{FF2B5EF4-FFF2-40B4-BE49-F238E27FC236}">
              <a16:creationId xmlns:a16="http://schemas.microsoft.com/office/drawing/2014/main" id="{99D248B3-1A18-4889-B128-C352897FBE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31" t="17531" r="9108" b="17979"/>
        <a:stretch/>
      </xdr:blipFill>
      <xdr:spPr bwMode="auto">
        <a:xfrm>
          <a:off x="115646" y="91441"/>
          <a:ext cx="2705659" cy="763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26514</xdr:colOff>
      <xdr:row>0</xdr:row>
      <xdr:rowOff>41814</xdr:rowOff>
    </xdr:from>
    <xdr:to>
      <xdr:col>19</xdr:col>
      <xdr:colOff>148591</xdr:colOff>
      <xdr:row>4</xdr:row>
      <xdr:rowOff>38411</xdr:rowOff>
    </xdr:to>
    <xdr:pic>
      <xdr:nvPicPr>
        <xdr:cNvPr id="3" name="Image 3" descr="Fairstone Events">
          <a:extLst>
            <a:ext uri="{FF2B5EF4-FFF2-40B4-BE49-F238E27FC236}">
              <a16:creationId xmlns:a16="http://schemas.microsoft.com/office/drawing/2014/main" id="{CCE3EDE8-03B8-441E-9EFD-4BAB679AC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03814" y="41814"/>
          <a:ext cx="3210082" cy="7585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268605</xdr:colOff>
      <xdr:row>0</xdr:row>
      <xdr:rowOff>62865</xdr:rowOff>
    </xdr:from>
    <xdr:to>
      <xdr:col>31</xdr:col>
      <xdr:colOff>607852</xdr:colOff>
      <xdr:row>4</xdr:row>
      <xdr:rowOff>72797</xdr:rowOff>
    </xdr:to>
    <xdr:pic>
      <xdr:nvPicPr>
        <xdr:cNvPr id="4" name="Image 6" descr="Fairstone Events">
          <a:extLst>
            <a:ext uri="{FF2B5EF4-FFF2-40B4-BE49-F238E27FC236}">
              <a16:creationId xmlns:a16="http://schemas.microsoft.com/office/drawing/2014/main" id="{4986ED41-0221-4B99-9B0C-A1BFE891F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56305" y="62865"/>
          <a:ext cx="3196747" cy="7643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41</xdr:col>
      <xdr:colOff>85725</xdr:colOff>
      <xdr:row>0</xdr:row>
      <xdr:rowOff>57150</xdr:rowOff>
    </xdr:from>
    <xdr:to>
      <xdr:col>45</xdr:col>
      <xdr:colOff>34519</xdr:colOff>
      <xdr:row>4</xdr:row>
      <xdr:rowOff>72390</xdr:rowOff>
    </xdr:to>
    <xdr:pic>
      <xdr:nvPicPr>
        <xdr:cNvPr id="5" name="Image 5">
          <a:extLst>
            <a:ext uri="{FF2B5EF4-FFF2-40B4-BE49-F238E27FC236}">
              <a16:creationId xmlns:a16="http://schemas.microsoft.com/office/drawing/2014/main" id="{49059009-E9D8-44FE-BF28-9E842D5F6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22175" y="57150"/>
          <a:ext cx="2992984" cy="771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904875</xdr:colOff>
      <xdr:row>0</xdr:row>
      <xdr:rowOff>0</xdr:rowOff>
    </xdr:from>
    <xdr:to>
      <xdr:col>10</xdr:col>
      <xdr:colOff>87630</xdr:colOff>
      <xdr:row>5</xdr:row>
      <xdr:rowOff>129817</xdr:rowOff>
    </xdr:to>
    <xdr:pic>
      <xdr:nvPicPr>
        <xdr:cNvPr id="3" name="Picture 2" descr="A logo with a smiley face&#10;&#10;AI-generated content may be incorrect.">
          <a:extLst>
            <a:ext uri="{FF2B5EF4-FFF2-40B4-BE49-F238E27FC236}">
              <a16:creationId xmlns:a16="http://schemas.microsoft.com/office/drawing/2014/main" id="{AE2007B7-A815-F68D-8C42-71DAC8F2B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0" y="0"/>
          <a:ext cx="2415540" cy="1120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3CA93-367A-47CE-817B-D677303C0558}">
  <dimension ref="A1:AZ37"/>
  <sheetViews>
    <sheetView showGridLines="0" tabSelected="1" view="pageBreakPreview" zoomScale="80" zoomScaleNormal="80" zoomScaleSheetLayoutView="80" workbookViewId="0">
      <selection activeCell="C27" sqref="C27"/>
    </sheetView>
  </sheetViews>
  <sheetFormatPr defaultColWidth="11.42578125" defaultRowHeight="15" x14ac:dyDescent="0.25"/>
  <cols>
    <col min="1" max="1" width="5.85546875" customWidth="1"/>
    <col min="2" max="2" width="3.85546875" customWidth="1"/>
    <col min="3" max="3" width="11.42578125" style="53"/>
    <col min="4" max="6" width="13.7109375" style="5" customWidth="1"/>
    <col min="7" max="7" width="4.28515625" customWidth="1"/>
    <col min="8" max="8" width="5.85546875" customWidth="1"/>
    <col min="9" max="9" width="3.85546875" customWidth="1"/>
    <col min="11" max="13" width="13.7109375" customWidth="1"/>
    <col min="14" max="15" width="4.28515625" customWidth="1"/>
    <col min="16" max="16" width="11" customWidth="1"/>
    <col min="17" max="17" width="9.85546875" style="5" customWidth="1"/>
    <col min="18" max="18" width="11.5703125" style="5" bestFit="1" customWidth="1"/>
    <col min="19" max="19" width="9.85546875" style="5" customWidth="1"/>
    <col min="20" max="21" width="4.28515625" customWidth="1"/>
    <col min="26" max="28" width="4.28515625" customWidth="1"/>
    <col min="33" max="35" width="4.28515625" customWidth="1"/>
  </cols>
  <sheetData>
    <row r="1" spans="1:52" x14ac:dyDescent="0.25">
      <c r="A1" s="9"/>
      <c r="B1" s="9"/>
      <c r="C1" s="10"/>
      <c r="D1" s="11"/>
      <c r="E1" s="11"/>
      <c r="F1" s="11"/>
      <c r="G1" s="9"/>
      <c r="H1" s="9"/>
      <c r="I1" s="9"/>
      <c r="J1" s="9"/>
      <c r="K1" s="9"/>
      <c r="L1" s="9"/>
      <c r="M1" s="9"/>
      <c r="O1" s="9"/>
      <c r="P1" s="9"/>
      <c r="Q1" s="11"/>
      <c r="R1" s="11"/>
      <c r="S1" s="11"/>
      <c r="U1" s="9"/>
      <c r="V1" s="9"/>
      <c r="W1" s="11"/>
      <c r="X1" s="11"/>
      <c r="Y1" s="11"/>
      <c r="AB1" s="9"/>
      <c r="AC1" s="9"/>
      <c r="AD1" s="11"/>
      <c r="AE1" s="11"/>
      <c r="AF1" s="11"/>
      <c r="AI1" s="9"/>
      <c r="AJ1" s="9"/>
      <c r="AK1" s="11"/>
      <c r="AL1" s="11"/>
      <c r="AM1" s="11"/>
      <c r="AN1" s="11"/>
      <c r="AO1" s="11"/>
      <c r="AP1" s="9"/>
      <c r="AQ1" s="9"/>
      <c r="AR1" s="11"/>
      <c r="AS1" s="11"/>
      <c r="AT1" s="11"/>
      <c r="AV1" s="9"/>
      <c r="AW1" s="9"/>
      <c r="AX1" s="11"/>
      <c r="AY1" s="11"/>
      <c r="AZ1" s="11"/>
    </row>
    <row r="2" spans="1:52" x14ac:dyDescent="0.25">
      <c r="A2" s="9"/>
      <c r="B2" s="9"/>
      <c r="C2" s="10"/>
      <c r="D2" s="11"/>
      <c r="E2" s="11"/>
      <c r="F2" s="11"/>
      <c r="G2" s="9"/>
      <c r="H2" s="9"/>
      <c r="I2" s="9"/>
      <c r="J2" s="9"/>
      <c r="K2" s="9"/>
      <c r="L2" s="9"/>
      <c r="M2" s="9"/>
      <c r="O2" s="9"/>
      <c r="P2" s="12"/>
      <c r="Q2" s="11"/>
      <c r="R2" s="11"/>
      <c r="S2" s="11"/>
      <c r="U2" s="9"/>
      <c r="V2" s="12"/>
      <c r="W2" s="11"/>
      <c r="X2" s="11"/>
      <c r="Y2" s="11"/>
      <c r="AB2" s="9"/>
      <c r="AC2" s="12"/>
      <c r="AD2" s="11"/>
      <c r="AE2" s="11"/>
      <c r="AF2" s="11"/>
      <c r="AI2" s="9"/>
      <c r="AJ2" s="12"/>
      <c r="AK2" s="11"/>
      <c r="AL2" s="11"/>
      <c r="AM2" s="11"/>
      <c r="AN2" s="11"/>
      <c r="AO2" s="11"/>
      <c r="AP2" s="9"/>
      <c r="AQ2" s="12"/>
      <c r="AR2" s="11"/>
      <c r="AS2" s="11"/>
      <c r="AT2" s="11"/>
      <c r="AV2" s="9"/>
      <c r="AW2" s="12"/>
      <c r="AX2" s="11"/>
      <c r="AY2" s="11"/>
      <c r="AZ2" s="11"/>
    </row>
    <row r="3" spans="1:52" x14ac:dyDescent="0.25">
      <c r="A3" s="9"/>
      <c r="B3" s="9"/>
      <c r="C3" s="10"/>
      <c r="D3" s="11"/>
      <c r="E3" s="11"/>
      <c r="F3" s="11"/>
      <c r="G3" s="9"/>
      <c r="H3" s="9"/>
      <c r="I3" s="9"/>
      <c r="J3" s="9"/>
      <c r="K3" s="9"/>
      <c r="L3" s="9"/>
      <c r="M3" s="9"/>
      <c r="O3" s="9"/>
      <c r="P3" s="12"/>
      <c r="Q3" s="11"/>
      <c r="R3" s="11"/>
      <c r="S3" s="11"/>
      <c r="U3" s="9"/>
      <c r="V3" s="12"/>
      <c r="W3" s="11"/>
      <c r="X3" s="11"/>
      <c r="Y3" s="11"/>
      <c r="AB3" s="9"/>
      <c r="AC3" s="12"/>
      <c r="AD3" s="11"/>
      <c r="AE3" s="11"/>
      <c r="AF3" s="11"/>
      <c r="AI3" s="9"/>
      <c r="AJ3" s="12"/>
      <c r="AK3" s="11"/>
      <c r="AL3" s="11"/>
      <c r="AM3" s="11"/>
      <c r="AN3" s="11"/>
      <c r="AO3" s="11"/>
      <c r="AP3" s="9"/>
      <c r="AQ3" s="12"/>
      <c r="AR3" s="11"/>
      <c r="AS3" s="11"/>
      <c r="AT3" s="11"/>
      <c r="AV3" s="9"/>
      <c r="AW3" s="12"/>
      <c r="AX3" s="11"/>
      <c r="AY3" s="11"/>
      <c r="AZ3" s="11"/>
    </row>
    <row r="4" spans="1:52" x14ac:dyDescent="0.25">
      <c r="A4" s="9"/>
      <c r="B4" s="9"/>
      <c r="C4" s="10"/>
      <c r="D4" s="11"/>
      <c r="E4" s="11"/>
      <c r="F4" s="11"/>
      <c r="G4" s="9"/>
      <c r="H4" s="9"/>
      <c r="I4" s="9"/>
      <c r="J4" s="9"/>
      <c r="K4" s="9"/>
      <c r="L4" s="9"/>
      <c r="M4" s="9"/>
      <c r="O4" s="9"/>
      <c r="P4" s="12"/>
      <c r="Q4" s="11"/>
      <c r="R4" s="11"/>
      <c r="S4" s="11"/>
      <c r="U4" s="9"/>
      <c r="V4" s="12"/>
      <c r="W4" s="11"/>
      <c r="X4" s="11"/>
      <c r="Y4" s="11"/>
      <c r="AB4" s="9"/>
      <c r="AC4" s="12"/>
      <c r="AD4" s="11"/>
      <c r="AE4" s="11"/>
      <c r="AF4" s="11"/>
      <c r="AI4" s="9"/>
      <c r="AJ4" s="12"/>
      <c r="AK4" s="11"/>
      <c r="AL4" s="11"/>
      <c r="AM4" s="11"/>
      <c r="AN4" s="11"/>
      <c r="AO4" s="11"/>
      <c r="AP4" s="9"/>
      <c r="AQ4" s="12"/>
      <c r="AR4" s="11"/>
      <c r="AS4" s="11"/>
      <c r="AT4" s="11"/>
      <c r="AV4" s="9"/>
      <c r="AW4" s="12"/>
      <c r="AX4" s="11"/>
      <c r="AY4" s="11"/>
      <c r="AZ4" s="11"/>
    </row>
    <row r="5" spans="1:52" ht="18.600000000000001" customHeight="1" thickBot="1" x14ac:dyDescent="0.3">
      <c r="A5" s="9"/>
      <c r="B5" s="9"/>
      <c r="C5" s="10"/>
      <c r="D5" s="11"/>
      <c r="E5" s="11"/>
      <c r="F5" s="11"/>
      <c r="G5" s="9"/>
      <c r="H5" s="9"/>
      <c r="I5" s="9"/>
      <c r="J5" s="9"/>
      <c r="K5" s="9"/>
      <c r="L5" s="9"/>
      <c r="M5" s="9"/>
      <c r="O5" s="9"/>
      <c r="P5" s="12"/>
      <c r="Q5" s="11"/>
      <c r="R5" s="11"/>
      <c r="S5" s="11"/>
      <c r="U5" s="9"/>
      <c r="V5" s="12"/>
      <c r="W5" s="11"/>
      <c r="X5" s="11"/>
      <c r="Y5" s="11"/>
      <c r="AB5" s="9"/>
      <c r="AC5" s="12"/>
      <c r="AD5" s="11"/>
      <c r="AE5" s="11"/>
      <c r="AF5" s="11"/>
      <c r="AI5" s="9"/>
      <c r="AJ5" s="12"/>
      <c r="AK5" s="11"/>
      <c r="AL5" s="11"/>
      <c r="AM5" s="11"/>
      <c r="AN5" s="11"/>
      <c r="AO5" s="11"/>
      <c r="AP5" s="9"/>
      <c r="AQ5" s="12"/>
      <c r="AR5" s="11"/>
      <c r="AS5" s="11"/>
      <c r="AT5" s="11"/>
      <c r="AV5" s="9"/>
      <c r="AW5" s="12"/>
      <c r="AX5" s="11"/>
      <c r="AY5" s="11"/>
      <c r="AZ5" s="11"/>
    </row>
    <row r="6" spans="1:52" ht="15.75" x14ac:dyDescent="0.25">
      <c r="A6" s="9"/>
      <c r="B6" s="9"/>
      <c r="C6" s="13"/>
      <c r="D6" s="97" t="s">
        <v>0</v>
      </c>
      <c r="E6" s="98"/>
      <c r="F6" s="99"/>
      <c r="G6" s="9"/>
      <c r="H6" s="9"/>
      <c r="I6" s="9"/>
      <c r="J6" s="10"/>
      <c r="K6" s="97" t="s">
        <v>0</v>
      </c>
      <c r="L6" s="98"/>
      <c r="M6" s="99"/>
      <c r="N6" s="14"/>
      <c r="O6" s="9"/>
      <c r="P6" s="12"/>
      <c r="Q6" s="100" t="s">
        <v>1</v>
      </c>
      <c r="R6" s="101"/>
      <c r="S6" s="101"/>
      <c r="T6" s="14"/>
      <c r="U6" s="9"/>
      <c r="V6" s="12"/>
      <c r="W6" s="100" t="s">
        <v>2</v>
      </c>
      <c r="X6" s="101"/>
      <c r="Y6" s="101"/>
      <c r="Z6" s="14"/>
      <c r="AA6" s="14"/>
      <c r="AB6" s="9"/>
      <c r="AC6" s="12"/>
      <c r="AD6" s="94" t="s">
        <v>3</v>
      </c>
      <c r="AE6" s="95"/>
      <c r="AF6" s="96"/>
      <c r="AG6" s="14"/>
      <c r="AI6" s="9"/>
      <c r="AJ6" s="12"/>
      <c r="AK6" s="94" t="s">
        <v>4</v>
      </c>
      <c r="AL6" s="95"/>
      <c r="AM6" s="95"/>
      <c r="AN6" s="95"/>
      <c r="AO6" s="96"/>
      <c r="AP6" s="9"/>
      <c r="AQ6" s="12"/>
      <c r="AR6" s="94" t="s">
        <v>5</v>
      </c>
      <c r="AS6" s="95"/>
      <c r="AT6" s="96"/>
      <c r="AV6" s="9"/>
      <c r="AW6" s="12"/>
      <c r="AX6" s="94" t="s">
        <v>5</v>
      </c>
      <c r="AY6" s="95"/>
      <c r="AZ6" s="96"/>
    </row>
    <row r="7" spans="1:52" ht="16.5" thickBot="1" x14ac:dyDescent="0.3">
      <c r="A7" s="9"/>
      <c r="B7" s="9"/>
      <c r="C7" s="13"/>
      <c r="D7" s="15" t="s">
        <v>6</v>
      </c>
      <c r="E7" s="16" t="s">
        <v>7</v>
      </c>
      <c r="F7" s="17" t="s">
        <v>8</v>
      </c>
      <c r="G7" s="18"/>
      <c r="H7" s="9"/>
      <c r="I7" s="9"/>
      <c r="J7" s="10"/>
      <c r="K7" s="19" t="s">
        <v>6</v>
      </c>
      <c r="L7" s="20" t="s">
        <v>7</v>
      </c>
      <c r="M7" s="21" t="s">
        <v>8</v>
      </c>
      <c r="N7" s="22"/>
      <c r="O7" s="23"/>
      <c r="P7" s="12"/>
      <c r="Q7" s="24">
        <v>36</v>
      </c>
      <c r="R7" s="25"/>
      <c r="S7" s="25">
        <v>36</v>
      </c>
      <c r="T7" s="22"/>
      <c r="U7" s="23"/>
      <c r="V7" s="12"/>
      <c r="W7" s="24">
        <v>48</v>
      </c>
      <c r="X7" s="25"/>
      <c r="Y7" s="25">
        <v>48</v>
      </c>
      <c r="Z7" s="22"/>
      <c r="AA7" s="22"/>
      <c r="AB7" s="23"/>
      <c r="AC7" s="12"/>
      <c r="AD7" s="24">
        <v>60</v>
      </c>
      <c r="AE7" s="25"/>
      <c r="AF7" s="26">
        <v>60</v>
      </c>
      <c r="AG7" s="22"/>
      <c r="AI7" s="23"/>
      <c r="AJ7" s="12"/>
      <c r="AK7" s="24">
        <v>36</v>
      </c>
      <c r="AL7" s="25">
        <v>48</v>
      </c>
      <c r="AM7" s="25"/>
      <c r="AN7" s="24">
        <v>36</v>
      </c>
      <c r="AO7" s="25">
        <v>48</v>
      </c>
      <c r="AP7" s="23"/>
      <c r="AQ7" s="12"/>
      <c r="AR7" s="27">
        <v>180</v>
      </c>
      <c r="AS7" s="28"/>
      <c r="AT7" s="29">
        <v>180</v>
      </c>
      <c r="AV7" s="23"/>
      <c r="AW7" s="12"/>
      <c r="AX7" s="27">
        <v>240</v>
      </c>
      <c r="AY7" s="28"/>
      <c r="AZ7" s="29">
        <v>240</v>
      </c>
    </row>
    <row r="8" spans="1:52" ht="14.45" customHeight="1" x14ac:dyDescent="0.25">
      <c r="A8" s="102" t="s">
        <v>9</v>
      </c>
      <c r="B8" s="105" t="s">
        <v>53</v>
      </c>
      <c r="C8" s="30">
        <v>5000</v>
      </c>
      <c r="D8" s="31">
        <f t="shared" ref="D8:D18" si="0">PMT(bnc_5000/12, 120, -C8)</f>
        <v>69.983428197292255</v>
      </c>
      <c r="E8" s="31">
        <f t="shared" ref="E8:E18" si="1">PMT(bnc_5000/26, 120/12*26, -C8)</f>
        <v>32.255955165367979</v>
      </c>
      <c r="F8" s="32">
        <f t="shared" ref="F8:F18" si="2">PMT(bnc_5000/52, 120/12*52, -C8)</f>
        <v>16.118522209018614</v>
      </c>
      <c r="G8" s="9"/>
      <c r="H8" s="106" t="s">
        <v>9</v>
      </c>
      <c r="I8" s="109" t="s">
        <v>54</v>
      </c>
      <c r="J8" s="30">
        <v>10250</v>
      </c>
      <c r="K8" s="44">
        <f t="shared" ref="K8:K26" si="3">PMT(bnc_10000/12, 120, -J8)</f>
        <v>140.55628847922569</v>
      </c>
      <c r="L8" s="44">
        <f t="shared" ref="L8:L26" si="4">PMT(bnc_10000/26, 120/12*26, -J8)</f>
        <v>64.784928513918302</v>
      </c>
      <c r="M8" s="45">
        <f t="shared" ref="M8:M26" si="5">PMT(bnc_10000/52, 120/12*52, -J8)</f>
        <v>32.373762196466274</v>
      </c>
      <c r="N8" s="33"/>
      <c r="O8" s="85">
        <v>4.99E-2</v>
      </c>
      <c r="P8" s="34">
        <v>250</v>
      </c>
      <c r="Q8" s="48">
        <f>PMT(0.0499/12, 36, -P8)</f>
        <v>7.4916018835360667</v>
      </c>
      <c r="R8" s="35">
        <v>7500</v>
      </c>
      <c r="S8" s="48">
        <f t="shared" ref="S8:S36" si="6">PMT(0.0499/12, 36, -R8)</f>
        <v>224.74805650608198</v>
      </c>
      <c r="T8" s="33"/>
      <c r="U8" s="85">
        <v>5.9900000000000002E-2</v>
      </c>
      <c r="V8" s="34">
        <v>250</v>
      </c>
      <c r="W8" s="36">
        <f>PMT(0.0599/12, 48, -V8)</f>
        <v>5.8701111344373551</v>
      </c>
      <c r="X8" s="35">
        <v>7500</v>
      </c>
      <c r="Y8" s="48">
        <f t="shared" ref="W8:Y36" si="7">PMT(0.0599/12, 48, -X8)</f>
        <v>176.10333403312063</v>
      </c>
      <c r="Z8" s="33"/>
      <c r="AA8" s="33"/>
      <c r="AB8" s="85">
        <v>8.9899999999999994E-2</v>
      </c>
      <c r="AC8" s="34">
        <v>250</v>
      </c>
      <c r="AD8" s="37">
        <f>PMT(0.0899/12, 60, -AC8)</f>
        <v>5.1883755617670255</v>
      </c>
      <c r="AE8" s="34">
        <v>7500</v>
      </c>
      <c r="AF8" s="37">
        <f t="shared" ref="AF8:AF36" si="8">PMT(0.0899/12, 60, -AE8)</f>
        <v>155.65126685301075</v>
      </c>
      <c r="AG8" s="33"/>
      <c r="AI8" s="85">
        <v>0.1099</v>
      </c>
      <c r="AJ8" s="34">
        <v>250</v>
      </c>
      <c r="AK8" s="38">
        <f>PMT(0.1099/12, 36, -AJ8)</f>
        <v>8.1834954213671445</v>
      </c>
      <c r="AL8" s="39">
        <f>PMT(0.1099/12, 48, -AJ8)</f>
        <v>6.4601666445218857</v>
      </c>
      <c r="AM8" s="34">
        <v>7500</v>
      </c>
      <c r="AN8" s="38">
        <f t="shared" ref="AN8:AN36" si="9">PMT(0.1099/12, 36, -AM8)</f>
        <v>245.50486264101431</v>
      </c>
      <c r="AO8" s="39">
        <f t="shared" ref="AO8:AO36" si="10">PMT(0.1099/12, 48, -AM8)</f>
        <v>193.80499933565656</v>
      </c>
      <c r="AP8" s="85">
        <v>0.12989999999999999</v>
      </c>
      <c r="AQ8" s="40">
        <v>250</v>
      </c>
      <c r="AR8" s="41">
        <f t="shared" ref="AR8:AR36" si="11">PMT(FinanceIt/12, 180, -AQ8)</f>
        <v>3.1614606031976296</v>
      </c>
      <c r="AS8" s="42">
        <f>AQ36+250</f>
        <v>7500</v>
      </c>
      <c r="AT8" s="41">
        <f t="shared" ref="AT8:AT18" si="12">PMT(FinanceIt/12, 180, -AS8)</f>
        <v>94.843818095928881</v>
      </c>
      <c r="AV8" s="85">
        <v>0.12989999999999999</v>
      </c>
      <c r="AW8" s="40">
        <v>10000</v>
      </c>
      <c r="AX8" s="37">
        <f t="shared" ref="AX8:AX36" si="13">PMT(FinanceIt/12, 240, -AW8)</f>
        <v>117.08633867133284</v>
      </c>
      <c r="AY8" s="42">
        <f>AW36+250</f>
        <v>17250</v>
      </c>
      <c r="AZ8" s="49">
        <f t="shared" ref="AZ8:AZ35" si="14">PMT(FinanceIt/12, 240, -AY8)</f>
        <v>201.97393420804912</v>
      </c>
    </row>
    <row r="9" spans="1:52" ht="15.75" x14ac:dyDescent="0.25">
      <c r="A9" s="103"/>
      <c r="B9" s="89"/>
      <c r="C9" s="43">
        <f t="shared" ref="C9:C28" si="15">C8+250</f>
        <v>5250</v>
      </c>
      <c r="D9" s="44">
        <f t="shared" si="0"/>
        <v>73.482599607156857</v>
      </c>
      <c r="E9" s="44">
        <f t="shared" si="1"/>
        <v>33.868752923636386</v>
      </c>
      <c r="F9" s="45">
        <f t="shared" si="2"/>
        <v>16.924448319469544</v>
      </c>
      <c r="G9" s="9"/>
      <c r="H9" s="107"/>
      <c r="I9" s="110"/>
      <c r="J9" s="43">
        <f t="shared" ref="J9:J35" si="16">J8+250</f>
        <v>10500</v>
      </c>
      <c r="K9" s="44">
        <f t="shared" si="3"/>
        <v>143.98449063725556</v>
      </c>
      <c r="L9" s="44">
        <f t="shared" si="4"/>
        <v>66.365048721574851</v>
      </c>
      <c r="M9" s="45">
        <f t="shared" si="5"/>
        <v>33.163366152477643</v>
      </c>
      <c r="N9" s="33"/>
      <c r="O9" s="86"/>
      <c r="P9" s="46">
        <f>P8+250</f>
        <v>500</v>
      </c>
      <c r="Q9" s="48">
        <f t="shared" ref="Q9:Q36" si="17">PMT(0.0499/12, 36, -P9)</f>
        <v>14.983203767072133</v>
      </c>
      <c r="R9" s="47">
        <f>R8+250</f>
        <v>7750</v>
      </c>
      <c r="S9" s="48">
        <f t="shared" si="6"/>
        <v>232.23965838961806</v>
      </c>
      <c r="T9" s="33"/>
      <c r="U9" s="86"/>
      <c r="V9" s="46">
        <f>V8+250</f>
        <v>500</v>
      </c>
      <c r="W9" s="48">
        <f t="shared" si="7"/>
        <v>11.74022226887471</v>
      </c>
      <c r="X9" s="47">
        <f>X8+250</f>
        <v>7750</v>
      </c>
      <c r="Y9" s="48">
        <f t="shared" si="7"/>
        <v>181.973445167558</v>
      </c>
      <c r="Z9" s="33"/>
      <c r="AA9" s="33"/>
      <c r="AB9" s="86"/>
      <c r="AC9" s="46">
        <f>AC8+250</f>
        <v>500</v>
      </c>
      <c r="AD9" s="49">
        <f t="shared" ref="AD9:AD36" si="18">PMT(0.0899/12, 60, -AC9)</f>
        <v>10.376751123534051</v>
      </c>
      <c r="AE9" s="46">
        <f>AE8+250</f>
        <v>7750</v>
      </c>
      <c r="AF9" s="49">
        <f t="shared" si="8"/>
        <v>160.83964241477779</v>
      </c>
      <c r="AG9" s="33"/>
      <c r="AI9" s="86"/>
      <c r="AJ9" s="46">
        <f>AJ8+250</f>
        <v>500</v>
      </c>
      <c r="AK9" s="50">
        <f t="shared" ref="AK9:AK36" si="19">PMT(0.1099/12, 36, -AJ9)</f>
        <v>16.366990842734289</v>
      </c>
      <c r="AL9" s="51">
        <f t="shared" ref="AL9:AL36" si="20">PMT(0.1099/12, 48, -AJ9)</f>
        <v>12.920333289043771</v>
      </c>
      <c r="AM9" s="46">
        <f>AM8+250</f>
        <v>7750</v>
      </c>
      <c r="AN9" s="50">
        <f t="shared" si="9"/>
        <v>253.68835806238147</v>
      </c>
      <c r="AO9" s="51">
        <f t="shared" si="10"/>
        <v>200.26516598017847</v>
      </c>
      <c r="AP9" s="86"/>
      <c r="AQ9" s="42">
        <f>AQ8+250</f>
        <v>500</v>
      </c>
      <c r="AR9" s="41">
        <f t="shared" si="11"/>
        <v>6.3229212063952591</v>
      </c>
      <c r="AS9" s="42">
        <f>AS8+250</f>
        <v>7750</v>
      </c>
      <c r="AT9" s="41">
        <f t="shared" si="12"/>
        <v>98.005278699126521</v>
      </c>
      <c r="AV9" s="86"/>
      <c r="AW9" s="42">
        <f>AW8+250</f>
        <v>10250</v>
      </c>
      <c r="AX9" s="49">
        <f t="shared" si="13"/>
        <v>120.01349713811616</v>
      </c>
      <c r="AY9" s="42">
        <f>AY8+250</f>
        <v>17500</v>
      </c>
      <c r="AZ9" s="49">
        <f t="shared" si="14"/>
        <v>204.90109267483248</v>
      </c>
    </row>
    <row r="10" spans="1:52" ht="15.75" x14ac:dyDescent="0.25">
      <c r="A10" s="103"/>
      <c r="B10" s="89"/>
      <c r="C10" s="43">
        <f t="shared" si="15"/>
        <v>5500</v>
      </c>
      <c r="D10" s="44">
        <f t="shared" si="0"/>
        <v>76.981771017021472</v>
      </c>
      <c r="E10" s="44">
        <f t="shared" si="1"/>
        <v>35.481550681904785</v>
      </c>
      <c r="F10" s="45">
        <f t="shared" si="2"/>
        <v>17.730374429920474</v>
      </c>
      <c r="G10" s="9"/>
      <c r="H10" s="107"/>
      <c r="I10" s="110"/>
      <c r="J10" s="43">
        <f t="shared" si="16"/>
        <v>10750</v>
      </c>
      <c r="K10" s="44">
        <f t="shared" si="3"/>
        <v>147.41269279528547</v>
      </c>
      <c r="L10" s="44">
        <f t="shared" si="4"/>
        <v>67.9451689292314</v>
      </c>
      <c r="M10" s="45">
        <f t="shared" si="5"/>
        <v>33.952970108489012</v>
      </c>
      <c r="N10" s="33"/>
      <c r="O10" s="86"/>
      <c r="P10" s="46">
        <f t="shared" ref="P10:P36" si="21">P9+250</f>
        <v>750</v>
      </c>
      <c r="Q10" s="48">
        <f t="shared" si="17"/>
        <v>22.4748056506082</v>
      </c>
      <c r="R10" s="47">
        <f t="shared" ref="R10:R36" si="22">R9+250</f>
        <v>8000</v>
      </c>
      <c r="S10" s="48">
        <f t="shared" si="6"/>
        <v>239.73126027315413</v>
      </c>
      <c r="T10" s="33"/>
      <c r="U10" s="86"/>
      <c r="V10" s="46">
        <f t="shared" ref="V10:V36" si="23">V9+250</f>
        <v>750</v>
      </c>
      <c r="W10" s="48">
        <f t="shared" si="7"/>
        <v>17.610333403312065</v>
      </c>
      <c r="X10" s="47">
        <f t="shared" ref="X10:X36" si="24">X9+250</f>
        <v>8000</v>
      </c>
      <c r="Y10" s="48">
        <f t="shared" si="7"/>
        <v>187.84355630199536</v>
      </c>
      <c r="Z10" s="33"/>
      <c r="AA10" s="33"/>
      <c r="AB10" s="86"/>
      <c r="AC10" s="46">
        <f t="shared" ref="AC10:AC36" si="25">AC9+250</f>
        <v>750</v>
      </c>
      <c r="AD10" s="49">
        <f t="shared" si="18"/>
        <v>15.565126685301076</v>
      </c>
      <c r="AE10" s="46">
        <f t="shared" ref="AE10:AE36" si="26">AE9+250</f>
        <v>8000</v>
      </c>
      <c r="AF10" s="49">
        <f t="shared" si="8"/>
        <v>166.02801797654482</v>
      </c>
      <c r="AG10" s="33"/>
      <c r="AI10" s="86"/>
      <c r="AJ10" s="46">
        <f t="shared" ref="AJ10:AJ36" si="27">AJ9+250</f>
        <v>750</v>
      </c>
      <c r="AK10" s="50">
        <f t="shared" si="19"/>
        <v>24.550486264101433</v>
      </c>
      <c r="AL10" s="51">
        <f t="shared" si="20"/>
        <v>19.380499933565655</v>
      </c>
      <c r="AM10" s="46">
        <f t="shared" ref="AM10:AM36" si="28">AM9+250</f>
        <v>8000</v>
      </c>
      <c r="AN10" s="50">
        <f t="shared" si="9"/>
        <v>261.87185348374862</v>
      </c>
      <c r="AO10" s="51">
        <f t="shared" si="10"/>
        <v>206.72533262470034</v>
      </c>
      <c r="AP10" s="86"/>
      <c r="AQ10" s="42">
        <f t="shared" ref="AQ10:AQ36" si="29">AQ9+250</f>
        <v>750</v>
      </c>
      <c r="AR10" s="41">
        <f t="shared" si="11"/>
        <v>9.4843818095928878</v>
      </c>
      <c r="AS10" s="42">
        <f t="shared" ref="AS10:AS18" si="30">AS9+250</f>
        <v>8000</v>
      </c>
      <c r="AT10" s="41">
        <f t="shared" si="12"/>
        <v>101.16673930232415</v>
      </c>
      <c r="AV10" s="86"/>
      <c r="AW10" s="42">
        <f t="shared" ref="AW10:AW36" si="31">AW9+250</f>
        <v>10500</v>
      </c>
      <c r="AX10" s="49">
        <f t="shared" si="13"/>
        <v>122.94065560489948</v>
      </c>
      <c r="AY10" s="42">
        <f t="shared" ref="AY10:AY35" si="32">AY9+250</f>
        <v>17750</v>
      </c>
      <c r="AZ10" s="49">
        <f t="shared" si="14"/>
        <v>207.82825114161577</v>
      </c>
    </row>
    <row r="11" spans="1:52" ht="15.75" x14ac:dyDescent="0.25">
      <c r="A11" s="103"/>
      <c r="B11" s="89"/>
      <c r="C11" s="43">
        <f t="shared" si="15"/>
        <v>5750</v>
      </c>
      <c r="D11" s="44">
        <f t="shared" si="0"/>
        <v>80.480942426886074</v>
      </c>
      <c r="E11" s="44">
        <f t="shared" si="1"/>
        <v>37.094348440173185</v>
      </c>
      <c r="F11" s="45">
        <f t="shared" si="2"/>
        <v>18.536300540371403</v>
      </c>
      <c r="G11" s="9"/>
      <c r="H11" s="107"/>
      <c r="I11" s="110"/>
      <c r="J11" s="43">
        <f t="shared" si="16"/>
        <v>11000</v>
      </c>
      <c r="K11" s="44">
        <f t="shared" si="3"/>
        <v>150.84089495331534</v>
      </c>
      <c r="L11" s="44">
        <f t="shared" si="4"/>
        <v>69.525289136887935</v>
      </c>
      <c r="M11" s="45">
        <f t="shared" si="5"/>
        <v>34.742574064500388</v>
      </c>
      <c r="N11" s="33"/>
      <c r="O11" s="86"/>
      <c r="P11" s="46">
        <f t="shared" si="21"/>
        <v>1000</v>
      </c>
      <c r="Q11" s="48">
        <f t="shared" si="17"/>
        <v>29.966407534144267</v>
      </c>
      <c r="R11" s="47">
        <f t="shared" si="22"/>
        <v>8250</v>
      </c>
      <c r="S11" s="48">
        <f t="shared" si="6"/>
        <v>247.22286215669018</v>
      </c>
      <c r="T11" s="33"/>
      <c r="U11" s="86"/>
      <c r="V11" s="46">
        <f t="shared" si="23"/>
        <v>1000</v>
      </c>
      <c r="W11" s="48">
        <f t="shared" si="7"/>
        <v>23.48044453774942</v>
      </c>
      <c r="X11" s="47">
        <f t="shared" si="24"/>
        <v>8250</v>
      </c>
      <c r="Y11" s="48">
        <f t="shared" si="7"/>
        <v>193.71366743643273</v>
      </c>
      <c r="Z11" s="33"/>
      <c r="AA11" s="33"/>
      <c r="AB11" s="86"/>
      <c r="AC11" s="46">
        <f t="shared" si="25"/>
        <v>1000</v>
      </c>
      <c r="AD11" s="49">
        <f t="shared" si="18"/>
        <v>20.753502247068102</v>
      </c>
      <c r="AE11" s="46">
        <f t="shared" si="26"/>
        <v>8250</v>
      </c>
      <c r="AF11" s="49">
        <f t="shared" si="8"/>
        <v>171.21639353831182</v>
      </c>
      <c r="AG11" s="33"/>
      <c r="AI11" s="86"/>
      <c r="AJ11" s="46">
        <f t="shared" si="27"/>
        <v>1000</v>
      </c>
      <c r="AK11" s="50">
        <f t="shared" si="19"/>
        <v>32.733981685468578</v>
      </c>
      <c r="AL11" s="51">
        <f t="shared" si="20"/>
        <v>25.840666578087543</v>
      </c>
      <c r="AM11" s="46">
        <f t="shared" si="28"/>
        <v>8250</v>
      </c>
      <c r="AN11" s="50">
        <f t="shared" si="9"/>
        <v>270.05534890511575</v>
      </c>
      <c r="AO11" s="51">
        <f t="shared" si="10"/>
        <v>213.18549926922222</v>
      </c>
      <c r="AP11" s="86"/>
      <c r="AQ11" s="42">
        <f t="shared" si="29"/>
        <v>1000</v>
      </c>
      <c r="AR11" s="41">
        <f t="shared" si="11"/>
        <v>12.645842412790518</v>
      </c>
      <c r="AS11" s="42">
        <f t="shared" si="30"/>
        <v>8250</v>
      </c>
      <c r="AT11" s="41">
        <f t="shared" si="12"/>
        <v>104.32819990552177</v>
      </c>
      <c r="AV11" s="86"/>
      <c r="AW11" s="42">
        <f t="shared" si="31"/>
        <v>10750</v>
      </c>
      <c r="AX11" s="49">
        <f t="shared" si="13"/>
        <v>125.8678140716828</v>
      </c>
      <c r="AY11" s="42">
        <f t="shared" si="32"/>
        <v>18000</v>
      </c>
      <c r="AZ11" s="49">
        <f t="shared" si="14"/>
        <v>210.75540960839908</v>
      </c>
    </row>
    <row r="12" spans="1:52" ht="14.45" customHeight="1" x14ac:dyDescent="0.25">
      <c r="A12" s="103"/>
      <c r="B12" s="89"/>
      <c r="C12" s="43">
        <f t="shared" si="15"/>
        <v>6000</v>
      </c>
      <c r="D12" s="44">
        <f t="shared" si="0"/>
        <v>83.980113836750689</v>
      </c>
      <c r="E12" s="44">
        <f t="shared" si="1"/>
        <v>38.707146198441585</v>
      </c>
      <c r="F12" s="45">
        <f t="shared" si="2"/>
        <v>19.342226650822337</v>
      </c>
      <c r="G12" s="9"/>
      <c r="H12" s="107"/>
      <c r="I12" s="110"/>
      <c r="J12" s="43">
        <f t="shared" si="16"/>
        <v>11250</v>
      </c>
      <c r="K12" s="44">
        <f t="shared" si="3"/>
        <v>154.26909711134525</v>
      </c>
      <c r="L12" s="44">
        <f t="shared" si="4"/>
        <v>71.105409344544469</v>
      </c>
      <c r="M12" s="45">
        <f t="shared" si="5"/>
        <v>35.532178020511758</v>
      </c>
      <c r="N12" s="33"/>
      <c r="O12" s="86"/>
      <c r="P12" s="46">
        <f t="shared" si="21"/>
        <v>1250</v>
      </c>
      <c r="Q12" s="48">
        <f t="shared" si="17"/>
        <v>37.45800941768033</v>
      </c>
      <c r="R12" s="47">
        <f t="shared" si="22"/>
        <v>8500</v>
      </c>
      <c r="S12" s="48">
        <f t="shared" si="6"/>
        <v>254.71446404022626</v>
      </c>
      <c r="T12" s="33"/>
      <c r="U12" s="86"/>
      <c r="V12" s="46">
        <f t="shared" si="23"/>
        <v>1250</v>
      </c>
      <c r="W12" s="48">
        <f t="shared" si="7"/>
        <v>29.350555672186776</v>
      </c>
      <c r="X12" s="47">
        <f t="shared" si="24"/>
        <v>8500</v>
      </c>
      <c r="Y12" s="48">
        <f t="shared" si="7"/>
        <v>199.58377857087009</v>
      </c>
      <c r="Z12" s="33"/>
      <c r="AA12" s="33"/>
      <c r="AB12" s="86"/>
      <c r="AC12" s="46">
        <f t="shared" si="25"/>
        <v>1250</v>
      </c>
      <c r="AD12" s="49">
        <f t="shared" si="18"/>
        <v>25.941877808835127</v>
      </c>
      <c r="AE12" s="46">
        <f t="shared" si="26"/>
        <v>8500</v>
      </c>
      <c r="AF12" s="49">
        <f t="shared" si="8"/>
        <v>176.40476910007885</v>
      </c>
      <c r="AG12" s="33"/>
      <c r="AI12" s="86"/>
      <c r="AJ12" s="46">
        <f t="shared" si="27"/>
        <v>1250</v>
      </c>
      <c r="AK12" s="50">
        <f t="shared" si="19"/>
        <v>40.917477106835719</v>
      </c>
      <c r="AL12" s="51">
        <f t="shared" si="20"/>
        <v>32.300833222609427</v>
      </c>
      <c r="AM12" s="46">
        <f t="shared" si="28"/>
        <v>8500</v>
      </c>
      <c r="AN12" s="50">
        <f t="shared" si="9"/>
        <v>278.23884432648288</v>
      </c>
      <c r="AO12" s="51">
        <f t="shared" si="10"/>
        <v>219.6456659137441</v>
      </c>
      <c r="AP12" s="86"/>
      <c r="AQ12" s="42">
        <f t="shared" si="29"/>
        <v>1250</v>
      </c>
      <c r="AR12" s="41">
        <f t="shared" si="11"/>
        <v>15.807303015988149</v>
      </c>
      <c r="AS12" s="42">
        <f t="shared" si="30"/>
        <v>8500</v>
      </c>
      <c r="AT12" s="41">
        <f t="shared" si="12"/>
        <v>107.48966050871941</v>
      </c>
      <c r="AV12" s="86"/>
      <c r="AW12" s="42">
        <f t="shared" si="31"/>
        <v>11000</v>
      </c>
      <c r="AX12" s="49">
        <f t="shared" si="13"/>
        <v>128.79497253846611</v>
      </c>
      <c r="AY12" s="42">
        <f t="shared" si="32"/>
        <v>18250</v>
      </c>
      <c r="AZ12" s="49">
        <f t="shared" si="14"/>
        <v>213.68256807518244</v>
      </c>
    </row>
    <row r="13" spans="1:52" ht="15.75" x14ac:dyDescent="0.25">
      <c r="A13" s="103"/>
      <c r="B13" s="89"/>
      <c r="C13" s="43">
        <f t="shared" si="15"/>
        <v>6250</v>
      </c>
      <c r="D13" s="44">
        <f t="shared" si="0"/>
        <v>87.479285246615319</v>
      </c>
      <c r="E13" s="44">
        <f t="shared" si="1"/>
        <v>40.319943956709984</v>
      </c>
      <c r="F13" s="45">
        <f t="shared" si="2"/>
        <v>20.148152761273266</v>
      </c>
      <c r="G13" s="9"/>
      <c r="H13" s="107"/>
      <c r="I13" s="110"/>
      <c r="J13" s="43">
        <f t="shared" si="16"/>
        <v>11500</v>
      </c>
      <c r="K13" s="44">
        <f t="shared" si="3"/>
        <v>157.69729926937515</v>
      </c>
      <c r="L13" s="44">
        <f t="shared" si="4"/>
        <v>72.685529552201018</v>
      </c>
      <c r="M13" s="45">
        <f t="shared" si="5"/>
        <v>36.321781976523134</v>
      </c>
      <c r="N13" s="33"/>
      <c r="O13" s="86"/>
      <c r="P13" s="46">
        <f t="shared" si="21"/>
        <v>1500</v>
      </c>
      <c r="Q13" s="48">
        <f t="shared" si="17"/>
        <v>44.9496113012164</v>
      </c>
      <c r="R13" s="47">
        <f t="shared" si="22"/>
        <v>8750</v>
      </c>
      <c r="S13" s="48">
        <f t="shared" si="6"/>
        <v>262.20606592376231</v>
      </c>
      <c r="T13" s="33"/>
      <c r="U13" s="86"/>
      <c r="V13" s="46">
        <f t="shared" si="23"/>
        <v>1500</v>
      </c>
      <c r="W13" s="48">
        <f t="shared" si="7"/>
        <v>35.220666806624131</v>
      </c>
      <c r="X13" s="47">
        <f t="shared" si="24"/>
        <v>8750</v>
      </c>
      <c r="Y13" s="48">
        <f t="shared" si="7"/>
        <v>205.45388970530743</v>
      </c>
      <c r="Z13" s="33"/>
      <c r="AA13" s="33"/>
      <c r="AB13" s="86"/>
      <c r="AC13" s="46">
        <f t="shared" si="25"/>
        <v>1500</v>
      </c>
      <c r="AD13" s="49">
        <f t="shared" si="18"/>
        <v>31.130253370602151</v>
      </c>
      <c r="AE13" s="46">
        <f t="shared" si="26"/>
        <v>8750</v>
      </c>
      <c r="AF13" s="49">
        <f t="shared" si="8"/>
        <v>181.59314466184588</v>
      </c>
      <c r="AG13" s="33"/>
      <c r="AI13" s="86"/>
      <c r="AJ13" s="46">
        <f t="shared" si="27"/>
        <v>1500</v>
      </c>
      <c r="AK13" s="50">
        <f t="shared" si="19"/>
        <v>49.100972528202867</v>
      </c>
      <c r="AL13" s="51">
        <f t="shared" si="20"/>
        <v>38.760999867131311</v>
      </c>
      <c r="AM13" s="46">
        <f t="shared" si="28"/>
        <v>8750</v>
      </c>
      <c r="AN13" s="50">
        <f t="shared" si="9"/>
        <v>286.42233974785006</v>
      </c>
      <c r="AO13" s="51">
        <f t="shared" si="10"/>
        <v>226.105832558266</v>
      </c>
      <c r="AP13" s="86"/>
      <c r="AQ13" s="42">
        <f t="shared" si="29"/>
        <v>1500</v>
      </c>
      <c r="AR13" s="41">
        <f t="shared" si="11"/>
        <v>18.968763619185776</v>
      </c>
      <c r="AS13" s="42">
        <f t="shared" si="30"/>
        <v>8750</v>
      </c>
      <c r="AT13" s="41">
        <f t="shared" si="12"/>
        <v>110.65112111191704</v>
      </c>
      <c r="AV13" s="86"/>
      <c r="AW13" s="42">
        <f t="shared" si="31"/>
        <v>11250</v>
      </c>
      <c r="AX13" s="49">
        <f t="shared" si="13"/>
        <v>131.72213100524942</v>
      </c>
      <c r="AY13" s="42">
        <f t="shared" si="32"/>
        <v>18500</v>
      </c>
      <c r="AZ13" s="49">
        <f t="shared" si="14"/>
        <v>216.60972654196573</v>
      </c>
    </row>
    <row r="14" spans="1:52" ht="15.75" x14ac:dyDescent="0.25">
      <c r="A14" s="103"/>
      <c r="B14" s="89"/>
      <c r="C14" s="43">
        <f t="shared" si="15"/>
        <v>6500</v>
      </c>
      <c r="D14" s="44">
        <f t="shared" si="0"/>
        <v>90.978456656479921</v>
      </c>
      <c r="E14" s="44">
        <f t="shared" si="1"/>
        <v>41.932741714978377</v>
      </c>
      <c r="F14" s="45">
        <f t="shared" si="2"/>
        <v>20.954078871724196</v>
      </c>
      <c r="G14" s="9"/>
      <c r="H14" s="107"/>
      <c r="I14" s="110"/>
      <c r="J14" s="43">
        <f t="shared" si="16"/>
        <v>11750</v>
      </c>
      <c r="K14" s="44">
        <f t="shared" si="3"/>
        <v>161.12550142740503</v>
      </c>
      <c r="L14" s="44">
        <f t="shared" si="4"/>
        <v>74.265649759857567</v>
      </c>
      <c r="M14" s="45">
        <f t="shared" si="5"/>
        <v>37.111385932534503</v>
      </c>
      <c r="N14" s="33"/>
      <c r="O14" s="86"/>
      <c r="P14" s="46">
        <f t="shared" si="21"/>
        <v>1750</v>
      </c>
      <c r="Q14" s="48">
        <f t="shared" si="17"/>
        <v>52.441213184752463</v>
      </c>
      <c r="R14" s="47">
        <f t="shared" si="22"/>
        <v>9000</v>
      </c>
      <c r="S14" s="48">
        <f t="shared" si="6"/>
        <v>269.69766780729839</v>
      </c>
      <c r="T14" s="33"/>
      <c r="U14" s="86"/>
      <c r="V14" s="46">
        <f t="shared" si="23"/>
        <v>1750</v>
      </c>
      <c r="W14" s="48">
        <f t="shared" si="7"/>
        <v>41.090777941061489</v>
      </c>
      <c r="X14" s="47">
        <f t="shared" si="24"/>
        <v>9000</v>
      </c>
      <c r="Y14" s="48">
        <f t="shared" si="7"/>
        <v>211.3240008397448</v>
      </c>
      <c r="Z14" s="33"/>
      <c r="AA14" s="33"/>
      <c r="AB14" s="86"/>
      <c r="AC14" s="46">
        <f t="shared" si="25"/>
        <v>1750</v>
      </c>
      <c r="AD14" s="49">
        <f t="shared" si="18"/>
        <v>36.318628932369172</v>
      </c>
      <c r="AE14" s="46">
        <f t="shared" si="26"/>
        <v>9000</v>
      </c>
      <c r="AF14" s="49">
        <f t="shared" si="8"/>
        <v>186.78152022361292</v>
      </c>
      <c r="AG14" s="33"/>
      <c r="AI14" s="86"/>
      <c r="AJ14" s="46">
        <f t="shared" si="27"/>
        <v>1750</v>
      </c>
      <c r="AK14" s="50">
        <f t="shared" si="19"/>
        <v>57.284467949570015</v>
      </c>
      <c r="AL14" s="51">
        <f t="shared" si="20"/>
        <v>45.221166511653202</v>
      </c>
      <c r="AM14" s="46">
        <f t="shared" si="28"/>
        <v>9000</v>
      </c>
      <c r="AN14" s="50">
        <f t="shared" si="9"/>
        <v>294.60583516921719</v>
      </c>
      <c r="AO14" s="51">
        <f t="shared" si="10"/>
        <v>232.56599920278788</v>
      </c>
      <c r="AP14" s="86"/>
      <c r="AQ14" s="42">
        <f t="shared" si="29"/>
        <v>1750</v>
      </c>
      <c r="AR14" s="41">
        <f t="shared" si="11"/>
        <v>22.130224222383408</v>
      </c>
      <c r="AS14" s="42">
        <f t="shared" si="30"/>
        <v>9000</v>
      </c>
      <c r="AT14" s="41">
        <f t="shared" si="12"/>
        <v>113.81258171511466</v>
      </c>
      <c r="AV14" s="86"/>
      <c r="AW14" s="42">
        <f t="shared" si="31"/>
        <v>11500</v>
      </c>
      <c r="AX14" s="49">
        <f t="shared" si="13"/>
        <v>134.64928947203276</v>
      </c>
      <c r="AY14" s="42">
        <f t="shared" si="32"/>
        <v>18750</v>
      </c>
      <c r="AZ14" s="49">
        <f t="shared" si="14"/>
        <v>219.53688500874904</v>
      </c>
    </row>
    <row r="15" spans="1:52" ht="15.75" x14ac:dyDescent="0.25">
      <c r="A15" s="103"/>
      <c r="B15" s="89"/>
      <c r="C15" s="43">
        <f t="shared" si="15"/>
        <v>6750</v>
      </c>
      <c r="D15" s="44">
        <f t="shared" si="0"/>
        <v>94.477628066344536</v>
      </c>
      <c r="E15" s="44">
        <f t="shared" si="1"/>
        <v>43.545539473246777</v>
      </c>
      <c r="F15" s="45">
        <f t="shared" si="2"/>
        <v>21.760004982175126</v>
      </c>
      <c r="G15" s="9"/>
      <c r="H15" s="107"/>
      <c r="I15" s="110"/>
      <c r="J15" s="43">
        <f t="shared" si="16"/>
        <v>12000</v>
      </c>
      <c r="K15" s="44">
        <f t="shared" si="3"/>
        <v>164.55370358543493</v>
      </c>
      <c r="L15" s="44">
        <f t="shared" si="4"/>
        <v>75.845769967514101</v>
      </c>
      <c r="M15" s="45">
        <f t="shared" si="5"/>
        <v>37.90098988854588</v>
      </c>
      <c r="N15" s="33"/>
      <c r="O15" s="86"/>
      <c r="P15" s="46">
        <f t="shared" si="21"/>
        <v>2000</v>
      </c>
      <c r="Q15" s="48">
        <f t="shared" si="17"/>
        <v>59.932815068288534</v>
      </c>
      <c r="R15" s="47">
        <f t="shared" si="22"/>
        <v>9250</v>
      </c>
      <c r="S15" s="48">
        <f t="shared" si="6"/>
        <v>277.18926969083441</v>
      </c>
      <c r="T15" s="33"/>
      <c r="U15" s="86"/>
      <c r="V15" s="46">
        <f t="shared" si="23"/>
        <v>2000</v>
      </c>
      <c r="W15" s="48">
        <f t="shared" si="7"/>
        <v>46.960889075498841</v>
      </c>
      <c r="X15" s="47">
        <f t="shared" si="24"/>
        <v>9250</v>
      </c>
      <c r="Y15" s="48">
        <f t="shared" si="7"/>
        <v>217.19411197418216</v>
      </c>
      <c r="Z15" s="33"/>
      <c r="AA15" s="33"/>
      <c r="AB15" s="86"/>
      <c r="AC15" s="46">
        <f t="shared" si="25"/>
        <v>2000</v>
      </c>
      <c r="AD15" s="49">
        <f t="shared" si="18"/>
        <v>41.507004494136204</v>
      </c>
      <c r="AE15" s="46">
        <f t="shared" si="26"/>
        <v>9250</v>
      </c>
      <c r="AF15" s="49">
        <f t="shared" si="8"/>
        <v>191.96989578537995</v>
      </c>
      <c r="AG15" s="33"/>
      <c r="AI15" s="86"/>
      <c r="AJ15" s="46">
        <f t="shared" si="27"/>
        <v>2000</v>
      </c>
      <c r="AK15" s="50">
        <f t="shared" si="19"/>
        <v>65.467963370937156</v>
      </c>
      <c r="AL15" s="51">
        <f t="shared" si="20"/>
        <v>51.681333156175086</v>
      </c>
      <c r="AM15" s="46">
        <f t="shared" si="28"/>
        <v>9250</v>
      </c>
      <c r="AN15" s="50">
        <f t="shared" si="9"/>
        <v>302.78933059058431</v>
      </c>
      <c r="AO15" s="51">
        <f t="shared" si="10"/>
        <v>239.02616584730978</v>
      </c>
      <c r="AP15" s="86"/>
      <c r="AQ15" s="42">
        <f t="shared" si="29"/>
        <v>2000</v>
      </c>
      <c r="AR15" s="41">
        <f t="shared" si="11"/>
        <v>25.291684825581036</v>
      </c>
      <c r="AS15" s="42">
        <f t="shared" si="30"/>
        <v>9250</v>
      </c>
      <c r="AT15" s="41">
        <f t="shared" si="12"/>
        <v>116.9740423183123</v>
      </c>
      <c r="AV15" s="86"/>
      <c r="AW15" s="42">
        <f t="shared" si="31"/>
        <v>11750</v>
      </c>
      <c r="AX15" s="49">
        <f t="shared" si="13"/>
        <v>137.5764479388161</v>
      </c>
      <c r="AY15" s="42">
        <f t="shared" si="32"/>
        <v>19000</v>
      </c>
      <c r="AZ15" s="49">
        <f t="shared" si="14"/>
        <v>222.46404347553241</v>
      </c>
    </row>
    <row r="16" spans="1:52" ht="14.45" customHeight="1" x14ac:dyDescent="0.25">
      <c r="A16" s="103"/>
      <c r="B16" s="89"/>
      <c r="C16" s="43">
        <f t="shared" si="15"/>
        <v>7000</v>
      </c>
      <c r="D16" s="44">
        <f t="shared" si="0"/>
        <v>97.976799476209152</v>
      </c>
      <c r="E16" s="44">
        <f t="shared" si="1"/>
        <v>45.158337231515176</v>
      </c>
      <c r="F16" s="45">
        <f t="shared" si="2"/>
        <v>22.565931092626059</v>
      </c>
      <c r="G16" s="9"/>
      <c r="H16" s="107"/>
      <c r="I16" s="110"/>
      <c r="J16" s="43">
        <f t="shared" si="16"/>
        <v>12250</v>
      </c>
      <c r="K16" s="44">
        <f t="shared" si="3"/>
        <v>167.98190574346484</v>
      </c>
      <c r="L16" s="44">
        <f t="shared" si="4"/>
        <v>77.425890175170665</v>
      </c>
      <c r="M16" s="45">
        <f t="shared" si="5"/>
        <v>38.690593844557249</v>
      </c>
      <c r="N16" s="33"/>
      <c r="O16" s="86"/>
      <c r="P16" s="46">
        <f t="shared" si="21"/>
        <v>2250</v>
      </c>
      <c r="Q16" s="48">
        <f t="shared" si="17"/>
        <v>67.424416951824597</v>
      </c>
      <c r="R16" s="47">
        <f t="shared" si="22"/>
        <v>9500</v>
      </c>
      <c r="S16" s="48">
        <f t="shared" si="6"/>
        <v>284.68087157437049</v>
      </c>
      <c r="T16" s="33"/>
      <c r="U16" s="86"/>
      <c r="V16" s="46">
        <f t="shared" si="23"/>
        <v>2250</v>
      </c>
      <c r="W16" s="48">
        <f t="shared" si="7"/>
        <v>52.831000209936199</v>
      </c>
      <c r="X16" s="47">
        <f t="shared" si="24"/>
        <v>9500</v>
      </c>
      <c r="Y16" s="48">
        <f t="shared" si="7"/>
        <v>223.06422310861953</v>
      </c>
      <c r="Z16" s="33"/>
      <c r="AA16" s="33"/>
      <c r="AB16" s="86"/>
      <c r="AC16" s="46">
        <f t="shared" si="25"/>
        <v>2250</v>
      </c>
      <c r="AD16" s="49">
        <f t="shared" si="18"/>
        <v>46.695380055903229</v>
      </c>
      <c r="AE16" s="46">
        <f t="shared" si="26"/>
        <v>9500</v>
      </c>
      <c r="AF16" s="49">
        <f t="shared" si="8"/>
        <v>197.15827134714695</v>
      </c>
      <c r="AG16" s="33"/>
      <c r="AI16" s="86"/>
      <c r="AJ16" s="46">
        <f t="shared" si="27"/>
        <v>2250</v>
      </c>
      <c r="AK16" s="50">
        <f t="shared" si="19"/>
        <v>73.651458792304297</v>
      </c>
      <c r="AL16" s="51">
        <f t="shared" si="20"/>
        <v>58.14149980069697</v>
      </c>
      <c r="AM16" s="46">
        <f t="shared" si="28"/>
        <v>9500</v>
      </c>
      <c r="AN16" s="50">
        <f t="shared" si="9"/>
        <v>310.9728260119515</v>
      </c>
      <c r="AO16" s="51">
        <f t="shared" si="10"/>
        <v>245.48633249183166</v>
      </c>
      <c r="AP16" s="86"/>
      <c r="AQ16" s="42">
        <f t="shared" si="29"/>
        <v>2250</v>
      </c>
      <c r="AR16" s="41">
        <f t="shared" si="11"/>
        <v>28.453145428778665</v>
      </c>
      <c r="AS16" s="42">
        <f t="shared" si="30"/>
        <v>9500</v>
      </c>
      <c r="AT16" s="41">
        <f t="shared" si="12"/>
        <v>120.13550292150993</v>
      </c>
      <c r="AV16" s="86"/>
      <c r="AW16" s="42">
        <f t="shared" si="31"/>
        <v>12000</v>
      </c>
      <c r="AX16" s="49">
        <f t="shared" si="13"/>
        <v>140.50360640559938</v>
      </c>
      <c r="AY16" s="42">
        <f t="shared" si="32"/>
        <v>19250</v>
      </c>
      <c r="AZ16" s="49">
        <f t="shared" si="14"/>
        <v>225.39120194231572</v>
      </c>
    </row>
    <row r="17" spans="1:52" ht="15.75" x14ac:dyDescent="0.25">
      <c r="A17" s="103"/>
      <c r="B17" s="89"/>
      <c r="C17" s="43">
        <f t="shared" si="15"/>
        <v>7250</v>
      </c>
      <c r="D17" s="44">
        <f t="shared" si="0"/>
        <v>101.47597088607375</v>
      </c>
      <c r="E17" s="44">
        <f t="shared" si="1"/>
        <v>46.771134989783576</v>
      </c>
      <c r="F17" s="45">
        <f t="shared" si="2"/>
        <v>23.371857203076988</v>
      </c>
      <c r="G17" s="9"/>
      <c r="H17" s="107"/>
      <c r="I17" s="110"/>
      <c r="J17" s="43">
        <f t="shared" si="16"/>
        <v>12500</v>
      </c>
      <c r="K17" s="44">
        <f t="shared" si="3"/>
        <v>171.41010790149471</v>
      </c>
      <c r="L17" s="44">
        <f t="shared" si="4"/>
        <v>79.006010382827213</v>
      </c>
      <c r="M17" s="45">
        <f t="shared" si="5"/>
        <v>39.480197800568618</v>
      </c>
      <c r="N17" s="33"/>
      <c r="O17" s="86"/>
      <c r="P17" s="46">
        <f t="shared" si="21"/>
        <v>2500</v>
      </c>
      <c r="Q17" s="48">
        <f t="shared" si="17"/>
        <v>74.91601883536066</v>
      </c>
      <c r="R17" s="47">
        <f t="shared" si="22"/>
        <v>9750</v>
      </c>
      <c r="S17" s="48">
        <f t="shared" si="6"/>
        <v>292.17247345790656</v>
      </c>
      <c r="T17" s="33"/>
      <c r="U17" s="86"/>
      <c r="V17" s="46">
        <f t="shared" si="23"/>
        <v>2500</v>
      </c>
      <c r="W17" s="48">
        <f t="shared" si="7"/>
        <v>58.701111344373551</v>
      </c>
      <c r="X17" s="47">
        <f t="shared" si="24"/>
        <v>9750</v>
      </c>
      <c r="Y17" s="48">
        <f t="shared" si="7"/>
        <v>228.93433424305684</v>
      </c>
      <c r="Z17" s="33"/>
      <c r="AA17" s="33"/>
      <c r="AB17" s="86"/>
      <c r="AC17" s="46">
        <f t="shared" si="25"/>
        <v>2500</v>
      </c>
      <c r="AD17" s="49">
        <f t="shared" si="18"/>
        <v>51.883755617670253</v>
      </c>
      <c r="AE17" s="46">
        <f t="shared" si="26"/>
        <v>9750</v>
      </c>
      <c r="AF17" s="49">
        <f t="shared" si="8"/>
        <v>202.34664690891398</v>
      </c>
      <c r="AG17" s="33"/>
      <c r="AI17" s="86"/>
      <c r="AJ17" s="46">
        <f t="shared" si="27"/>
        <v>2500</v>
      </c>
      <c r="AK17" s="50">
        <f t="shared" si="19"/>
        <v>81.834954213671438</v>
      </c>
      <c r="AL17" s="51">
        <f t="shared" si="20"/>
        <v>64.601666445218854</v>
      </c>
      <c r="AM17" s="46">
        <f t="shared" si="28"/>
        <v>9750</v>
      </c>
      <c r="AN17" s="50">
        <f t="shared" si="9"/>
        <v>319.15632143331862</v>
      </c>
      <c r="AO17" s="51">
        <f t="shared" si="10"/>
        <v>251.94649913635354</v>
      </c>
      <c r="AP17" s="86"/>
      <c r="AQ17" s="42">
        <f t="shared" si="29"/>
        <v>2500</v>
      </c>
      <c r="AR17" s="41">
        <f t="shared" si="11"/>
        <v>31.614606031976297</v>
      </c>
      <c r="AS17" s="42">
        <f t="shared" si="30"/>
        <v>9750</v>
      </c>
      <c r="AT17" s="41">
        <f t="shared" si="12"/>
        <v>123.29696352470755</v>
      </c>
      <c r="AV17" s="86"/>
      <c r="AW17" s="42">
        <f t="shared" si="31"/>
        <v>12250</v>
      </c>
      <c r="AX17" s="49">
        <f t="shared" si="13"/>
        <v>143.43076487238272</v>
      </c>
      <c r="AY17" s="42">
        <f t="shared" si="32"/>
        <v>19500</v>
      </c>
      <c r="AZ17" s="49">
        <f t="shared" si="14"/>
        <v>228.318360409099</v>
      </c>
    </row>
    <row r="18" spans="1:52" ht="16.5" thickBot="1" x14ac:dyDescent="0.3">
      <c r="A18" s="103"/>
      <c r="B18" s="90"/>
      <c r="C18" s="52">
        <f t="shared" si="15"/>
        <v>7500</v>
      </c>
      <c r="D18" s="44">
        <f t="shared" si="0"/>
        <v>104.97514229593837</v>
      </c>
      <c r="E18" s="44">
        <f t="shared" si="1"/>
        <v>48.383932748051976</v>
      </c>
      <c r="F18" s="45">
        <f t="shared" si="2"/>
        <v>24.177783313527918</v>
      </c>
      <c r="G18" s="9"/>
      <c r="H18" s="107"/>
      <c r="I18" s="110"/>
      <c r="J18" s="43">
        <f t="shared" si="16"/>
        <v>12750</v>
      </c>
      <c r="K18" s="44">
        <f t="shared" si="3"/>
        <v>174.83831005952462</v>
      </c>
      <c r="L18" s="44">
        <f t="shared" si="4"/>
        <v>80.586130590483748</v>
      </c>
      <c r="M18" s="45">
        <f t="shared" si="5"/>
        <v>40.269801756579994</v>
      </c>
      <c r="N18" s="33"/>
      <c r="O18" s="86"/>
      <c r="P18" s="46">
        <f t="shared" si="21"/>
        <v>2750</v>
      </c>
      <c r="Q18" s="48">
        <f t="shared" si="17"/>
        <v>82.407620718896723</v>
      </c>
      <c r="R18" s="47">
        <f t="shared" si="22"/>
        <v>10000</v>
      </c>
      <c r="S18" s="48">
        <f t="shared" si="6"/>
        <v>299.66407534144264</v>
      </c>
      <c r="T18" s="33"/>
      <c r="U18" s="86"/>
      <c r="V18" s="46">
        <f t="shared" si="23"/>
        <v>2750</v>
      </c>
      <c r="W18" s="48">
        <f t="shared" si="7"/>
        <v>64.57122247881091</v>
      </c>
      <c r="X18" s="47">
        <f t="shared" si="24"/>
        <v>10000</v>
      </c>
      <c r="Y18" s="48">
        <f t="shared" si="7"/>
        <v>234.8044453774942</v>
      </c>
      <c r="Z18" s="33"/>
      <c r="AA18" s="33"/>
      <c r="AB18" s="86"/>
      <c r="AC18" s="46">
        <f t="shared" si="25"/>
        <v>2750</v>
      </c>
      <c r="AD18" s="49">
        <f t="shared" si="18"/>
        <v>57.072131179437278</v>
      </c>
      <c r="AE18" s="46">
        <f t="shared" si="26"/>
        <v>10000</v>
      </c>
      <c r="AF18" s="49">
        <f t="shared" si="8"/>
        <v>207.53502247068101</v>
      </c>
      <c r="AG18" s="33"/>
      <c r="AI18" s="86"/>
      <c r="AJ18" s="46">
        <f t="shared" si="27"/>
        <v>2750</v>
      </c>
      <c r="AK18" s="50">
        <f t="shared" si="19"/>
        <v>90.018449635038593</v>
      </c>
      <c r="AL18" s="51">
        <f t="shared" si="20"/>
        <v>71.061833089740745</v>
      </c>
      <c r="AM18" s="46">
        <f t="shared" si="28"/>
        <v>10000</v>
      </c>
      <c r="AN18" s="50">
        <f t="shared" si="9"/>
        <v>327.33981685468575</v>
      </c>
      <c r="AO18" s="51">
        <f t="shared" si="10"/>
        <v>258.40666578087541</v>
      </c>
      <c r="AP18" s="86"/>
      <c r="AQ18" s="42">
        <f t="shared" si="29"/>
        <v>2750</v>
      </c>
      <c r="AR18" s="41">
        <f t="shared" si="11"/>
        <v>34.776066635173926</v>
      </c>
      <c r="AS18" s="42">
        <f t="shared" si="30"/>
        <v>10000</v>
      </c>
      <c r="AT18" s="41">
        <f t="shared" si="12"/>
        <v>126.45842412790519</v>
      </c>
      <c r="AV18" s="86"/>
      <c r="AW18" s="42">
        <f t="shared" si="31"/>
        <v>12500</v>
      </c>
      <c r="AX18" s="49">
        <f t="shared" si="13"/>
        <v>146.35792333916606</v>
      </c>
      <c r="AY18" s="42">
        <f t="shared" si="32"/>
        <v>19750</v>
      </c>
      <c r="AZ18" s="49">
        <f t="shared" si="14"/>
        <v>231.24551887588237</v>
      </c>
    </row>
    <row r="19" spans="1:52" ht="14.25" customHeight="1" x14ac:dyDescent="0.25">
      <c r="A19" s="103"/>
      <c r="B19" s="88" t="s">
        <v>54</v>
      </c>
      <c r="C19" s="30">
        <f t="shared" si="15"/>
        <v>7750</v>
      </c>
      <c r="D19" s="44">
        <f t="shared" ref="D19:D28" si="33">PMT(bnc_7500/12, 120, -C19)</f>
        <v>106.27426689892673</v>
      </c>
      <c r="E19" s="44">
        <f t="shared" ref="E19:E28" si="34">PMT(bnc_7500/26, 120/12*26, -C19)</f>
        <v>48.983726437352864</v>
      </c>
      <c r="F19" s="45">
        <f t="shared" ref="F19:F28" si="35">PMT(bnc_7500/52, 120/12*52, -C19)</f>
        <v>24.477722636352546</v>
      </c>
      <c r="G19" s="9"/>
      <c r="H19" s="107"/>
      <c r="I19" s="110"/>
      <c r="J19" s="43">
        <f t="shared" si="16"/>
        <v>13000</v>
      </c>
      <c r="K19" s="44">
        <f t="shared" si="3"/>
        <v>178.26651221755452</v>
      </c>
      <c r="L19" s="44">
        <f t="shared" si="4"/>
        <v>82.166250798140297</v>
      </c>
      <c r="M19" s="45">
        <f t="shared" si="5"/>
        <v>41.059405712591364</v>
      </c>
      <c r="N19" s="33"/>
      <c r="O19" s="86"/>
      <c r="P19" s="46">
        <f t="shared" si="21"/>
        <v>3000</v>
      </c>
      <c r="Q19" s="48">
        <f t="shared" si="17"/>
        <v>89.8992226024328</v>
      </c>
      <c r="R19" s="47">
        <f t="shared" si="22"/>
        <v>10250</v>
      </c>
      <c r="S19" s="48">
        <f t="shared" si="6"/>
        <v>307.15567722497872</v>
      </c>
      <c r="T19" s="33"/>
      <c r="U19" s="86"/>
      <c r="V19" s="46">
        <f t="shared" si="23"/>
        <v>3000</v>
      </c>
      <c r="W19" s="48">
        <f t="shared" si="7"/>
        <v>70.441333613248261</v>
      </c>
      <c r="X19" s="47">
        <f t="shared" si="24"/>
        <v>10250</v>
      </c>
      <c r="Y19" s="48">
        <f t="shared" si="7"/>
        <v>240.67455651193157</v>
      </c>
      <c r="Z19" s="33"/>
      <c r="AA19" s="33"/>
      <c r="AB19" s="86"/>
      <c r="AC19" s="46">
        <f t="shared" si="25"/>
        <v>3000</v>
      </c>
      <c r="AD19" s="49">
        <f t="shared" si="18"/>
        <v>62.260506741204303</v>
      </c>
      <c r="AE19" s="46">
        <f t="shared" si="26"/>
        <v>10250</v>
      </c>
      <c r="AF19" s="49">
        <f t="shared" si="8"/>
        <v>212.72339803244805</v>
      </c>
      <c r="AG19" s="33"/>
      <c r="AI19" s="86"/>
      <c r="AJ19" s="46">
        <f t="shared" si="27"/>
        <v>3000</v>
      </c>
      <c r="AK19" s="50">
        <f t="shared" si="19"/>
        <v>98.201945056405734</v>
      </c>
      <c r="AL19" s="51">
        <f t="shared" si="20"/>
        <v>77.521999734262621</v>
      </c>
      <c r="AM19" s="46">
        <f t="shared" si="28"/>
        <v>10250</v>
      </c>
      <c r="AN19" s="50">
        <f t="shared" si="9"/>
        <v>335.52331227605293</v>
      </c>
      <c r="AO19" s="51">
        <f t="shared" si="10"/>
        <v>264.86683242539732</v>
      </c>
      <c r="AP19" s="86"/>
      <c r="AQ19" s="42">
        <f t="shared" si="29"/>
        <v>3000</v>
      </c>
      <c r="AR19" s="41">
        <f t="shared" si="11"/>
        <v>37.937527238371551</v>
      </c>
      <c r="AS19" s="42"/>
      <c r="AT19" s="41"/>
      <c r="AV19" s="86"/>
      <c r="AW19" s="42">
        <f t="shared" si="31"/>
        <v>12750</v>
      </c>
      <c r="AX19" s="49">
        <f t="shared" si="13"/>
        <v>149.28508180594937</v>
      </c>
      <c r="AY19" s="42">
        <f t="shared" si="32"/>
        <v>20000</v>
      </c>
      <c r="AZ19" s="49">
        <f t="shared" si="14"/>
        <v>234.17267734266568</v>
      </c>
    </row>
    <row r="20" spans="1:52" ht="15.75" x14ac:dyDescent="0.25">
      <c r="A20" s="103"/>
      <c r="B20" s="89"/>
      <c r="C20" s="43">
        <f t="shared" si="15"/>
        <v>8000</v>
      </c>
      <c r="D20" s="44">
        <f t="shared" si="33"/>
        <v>109.70246905695662</v>
      </c>
      <c r="E20" s="44">
        <f t="shared" si="34"/>
        <v>50.563846645009406</v>
      </c>
      <c r="F20" s="45">
        <f t="shared" si="35"/>
        <v>25.267326592363919</v>
      </c>
      <c r="G20" s="9"/>
      <c r="H20" s="107"/>
      <c r="I20" s="110"/>
      <c r="J20" s="43">
        <f t="shared" si="16"/>
        <v>13250</v>
      </c>
      <c r="K20" s="44">
        <f t="shared" si="3"/>
        <v>181.6947143755844</v>
      </c>
      <c r="L20" s="44">
        <f t="shared" si="4"/>
        <v>83.746371005796831</v>
      </c>
      <c r="M20" s="45">
        <f t="shared" si="5"/>
        <v>41.849009668602733</v>
      </c>
      <c r="N20" s="33"/>
      <c r="O20" s="86"/>
      <c r="P20" s="46">
        <f t="shared" si="21"/>
        <v>3250</v>
      </c>
      <c r="Q20" s="48">
        <f t="shared" si="17"/>
        <v>97.390824485968864</v>
      </c>
      <c r="R20" s="47">
        <f t="shared" si="22"/>
        <v>10500</v>
      </c>
      <c r="S20" s="48">
        <f t="shared" si="6"/>
        <v>314.64727910851479</v>
      </c>
      <c r="T20" s="33"/>
      <c r="U20" s="86"/>
      <c r="V20" s="46">
        <f t="shared" si="23"/>
        <v>3250</v>
      </c>
      <c r="W20" s="48">
        <f t="shared" si="7"/>
        <v>76.311444747685627</v>
      </c>
      <c r="X20" s="47">
        <f t="shared" si="24"/>
        <v>10500</v>
      </c>
      <c r="Y20" s="48">
        <f t="shared" si="7"/>
        <v>246.54466764636894</v>
      </c>
      <c r="Z20" s="33"/>
      <c r="AA20" s="33"/>
      <c r="AB20" s="86"/>
      <c r="AC20" s="46">
        <f t="shared" si="25"/>
        <v>3250</v>
      </c>
      <c r="AD20" s="49">
        <f t="shared" si="18"/>
        <v>67.448882302971327</v>
      </c>
      <c r="AE20" s="46">
        <f t="shared" si="26"/>
        <v>10500</v>
      </c>
      <c r="AF20" s="49">
        <f t="shared" si="8"/>
        <v>217.91177359421508</v>
      </c>
      <c r="AG20" s="33"/>
      <c r="AI20" s="86"/>
      <c r="AJ20" s="46">
        <f t="shared" si="27"/>
        <v>3250</v>
      </c>
      <c r="AK20" s="50">
        <f t="shared" si="19"/>
        <v>106.38544047777287</v>
      </c>
      <c r="AL20" s="51">
        <f t="shared" si="20"/>
        <v>83.982166378784513</v>
      </c>
      <c r="AM20" s="46">
        <f t="shared" si="28"/>
        <v>10500</v>
      </c>
      <c r="AN20" s="50">
        <f t="shared" si="9"/>
        <v>343.70680769742006</v>
      </c>
      <c r="AO20" s="51">
        <f t="shared" si="10"/>
        <v>271.32699906991917</v>
      </c>
      <c r="AP20" s="86"/>
      <c r="AQ20" s="42">
        <f t="shared" si="29"/>
        <v>3250</v>
      </c>
      <c r="AR20" s="41">
        <f t="shared" si="11"/>
        <v>41.098987841569183</v>
      </c>
      <c r="AS20" s="42"/>
      <c r="AT20" s="41"/>
      <c r="AV20" s="86"/>
      <c r="AW20" s="42">
        <f t="shared" si="31"/>
        <v>13000</v>
      </c>
      <c r="AX20" s="49">
        <f t="shared" si="13"/>
        <v>152.21224027273269</v>
      </c>
      <c r="AY20" s="42">
        <f t="shared" si="32"/>
        <v>20250</v>
      </c>
      <c r="AZ20" s="49">
        <f t="shared" si="14"/>
        <v>237.09983580944899</v>
      </c>
    </row>
    <row r="21" spans="1:52" ht="15.75" x14ac:dyDescent="0.25">
      <c r="A21" s="103"/>
      <c r="B21" s="89"/>
      <c r="C21" s="43">
        <f t="shared" si="15"/>
        <v>8250</v>
      </c>
      <c r="D21" s="44">
        <f t="shared" si="33"/>
        <v>113.13067121498652</v>
      </c>
      <c r="E21" s="44">
        <f t="shared" si="34"/>
        <v>52.143966852665947</v>
      </c>
      <c r="F21" s="45">
        <f t="shared" si="35"/>
        <v>26.056930548375288</v>
      </c>
      <c r="G21" s="9"/>
      <c r="H21" s="107"/>
      <c r="I21" s="110"/>
      <c r="J21" s="43">
        <f t="shared" si="16"/>
        <v>13500</v>
      </c>
      <c r="K21" s="44">
        <f t="shared" si="3"/>
        <v>185.1229165336143</v>
      </c>
      <c r="L21" s="44">
        <f t="shared" si="4"/>
        <v>85.32649121345338</v>
      </c>
      <c r="M21" s="45">
        <f t="shared" si="5"/>
        <v>42.638613624614109</v>
      </c>
      <c r="N21" s="33"/>
      <c r="O21" s="86"/>
      <c r="P21" s="46">
        <f t="shared" si="21"/>
        <v>3500</v>
      </c>
      <c r="Q21" s="48">
        <f t="shared" si="17"/>
        <v>104.88242636950493</v>
      </c>
      <c r="R21" s="47">
        <f t="shared" si="22"/>
        <v>10750</v>
      </c>
      <c r="S21" s="48">
        <f t="shared" si="6"/>
        <v>322.13888099205082</v>
      </c>
      <c r="T21" s="33"/>
      <c r="U21" s="86"/>
      <c r="V21" s="46">
        <f t="shared" si="23"/>
        <v>3500</v>
      </c>
      <c r="W21" s="48">
        <f t="shared" si="7"/>
        <v>82.181555882122979</v>
      </c>
      <c r="X21" s="47">
        <f t="shared" si="24"/>
        <v>10750</v>
      </c>
      <c r="Y21" s="48">
        <f t="shared" si="7"/>
        <v>252.4147787808063</v>
      </c>
      <c r="Z21" s="33"/>
      <c r="AA21" s="33"/>
      <c r="AB21" s="86"/>
      <c r="AC21" s="46">
        <f t="shared" si="25"/>
        <v>3500</v>
      </c>
      <c r="AD21" s="49">
        <f t="shared" si="18"/>
        <v>72.637257864738345</v>
      </c>
      <c r="AE21" s="46">
        <f t="shared" si="26"/>
        <v>10750</v>
      </c>
      <c r="AF21" s="49">
        <f t="shared" si="8"/>
        <v>223.10014915598208</v>
      </c>
      <c r="AG21" s="33"/>
      <c r="AI21" s="86"/>
      <c r="AJ21" s="46">
        <f t="shared" si="27"/>
        <v>3500</v>
      </c>
      <c r="AK21" s="50">
        <f t="shared" si="19"/>
        <v>114.56893589914003</v>
      </c>
      <c r="AL21" s="51">
        <f t="shared" si="20"/>
        <v>90.442333023306404</v>
      </c>
      <c r="AM21" s="46">
        <f t="shared" si="28"/>
        <v>10750</v>
      </c>
      <c r="AN21" s="50">
        <f t="shared" si="9"/>
        <v>351.89030311878719</v>
      </c>
      <c r="AO21" s="51">
        <f t="shared" si="10"/>
        <v>277.78716571444107</v>
      </c>
      <c r="AP21" s="86"/>
      <c r="AQ21" s="42">
        <f t="shared" si="29"/>
        <v>3500</v>
      </c>
      <c r="AR21" s="41">
        <f t="shared" si="11"/>
        <v>44.260448444766816</v>
      </c>
      <c r="AS21" s="42"/>
      <c r="AT21" s="41"/>
      <c r="AV21" s="86"/>
      <c r="AW21" s="42">
        <f t="shared" si="31"/>
        <v>13250</v>
      </c>
      <c r="AX21" s="49">
        <f t="shared" si="13"/>
        <v>155.13939873951603</v>
      </c>
      <c r="AY21" s="42">
        <f t="shared" si="32"/>
        <v>20500</v>
      </c>
      <c r="AZ21" s="49">
        <f t="shared" si="14"/>
        <v>240.02699427623233</v>
      </c>
    </row>
    <row r="22" spans="1:52" ht="15.75" x14ac:dyDescent="0.25">
      <c r="A22" s="103"/>
      <c r="B22" s="89"/>
      <c r="C22" s="43">
        <f t="shared" si="15"/>
        <v>8500</v>
      </c>
      <c r="D22" s="44">
        <f t="shared" si="33"/>
        <v>116.55887337301641</v>
      </c>
      <c r="E22" s="44">
        <f t="shared" si="34"/>
        <v>53.724087060322503</v>
      </c>
      <c r="F22" s="45">
        <f t="shared" si="35"/>
        <v>26.846534504386661</v>
      </c>
      <c r="G22" s="9"/>
      <c r="H22" s="107"/>
      <c r="I22" s="110"/>
      <c r="J22" s="43">
        <f t="shared" si="16"/>
        <v>13750</v>
      </c>
      <c r="K22" s="44">
        <f t="shared" si="3"/>
        <v>188.55111869164421</v>
      </c>
      <c r="L22" s="44">
        <f t="shared" si="4"/>
        <v>86.906611421109929</v>
      </c>
      <c r="M22" s="45">
        <f t="shared" si="5"/>
        <v>43.428217580625486</v>
      </c>
      <c r="N22" s="33"/>
      <c r="O22" s="86"/>
      <c r="P22" s="46">
        <f t="shared" si="21"/>
        <v>3750</v>
      </c>
      <c r="Q22" s="48">
        <f t="shared" si="17"/>
        <v>112.37402825304099</v>
      </c>
      <c r="R22" s="47">
        <f t="shared" si="22"/>
        <v>11000</v>
      </c>
      <c r="S22" s="48">
        <f t="shared" si="6"/>
        <v>329.63048287558689</v>
      </c>
      <c r="T22" s="33"/>
      <c r="U22" s="86"/>
      <c r="V22" s="46">
        <f t="shared" si="23"/>
        <v>3750</v>
      </c>
      <c r="W22" s="48">
        <f t="shared" si="7"/>
        <v>88.051667016560316</v>
      </c>
      <c r="X22" s="47">
        <f t="shared" si="24"/>
        <v>11000</v>
      </c>
      <c r="Y22" s="48">
        <f t="shared" si="7"/>
        <v>258.28488991524364</v>
      </c>
      <c r="Z22" s="33"/>
      <c r="AA22" s="33"/>
      <c r="AB22" s="86"/>
      <c r="AC22" s="46">
        <f t="shared" si="25"/>
        <v>3750</v>
      </c>
      <c r="AD22" s="49">
        <f t="shared" si="18"/>
        <v>77.825633426505377</v>
      </c>
      <c r="AE22" s="46">
        <f t="shared" si="26"/>
        <v>11000</v>
      </c>
      <c r="AF22" s="49">
        <f t="shared" si="8"/>
        <v>228.28852471774911</v>
      </c>
      <c r="AG22" s="33"/>
      <c r="AI22" s="86"/>
      <c r="AJ22" s="46">
        <f t="shared" si="27"/>
        <v>3750</v>
      </c>
      <c r="AK22" s="50">
        <f t="shared" si="19"/>
        <v>122.75243132050716</v>
      </c>
      <c r="AL22" s="51">
        <f t="shared" si="20"/>
        <v>96.90249966782828</v>
      </c>
      <c r="AM22" s="46">
        <f t="shared" si="28"/>
        <v>11000</v>
      </c>
      <c r="AN22" s="50">
        <f t="shared" si="9"/>
        <v>360.07379854015437</v>
      </c>
      <c r="AO22" s="51">
        <f t="shared" si="10"/>
        <v>284.24733235896298</v>
      </c>
      <c r="AP22" s="86"/>
      <c r="AQ22" s="42">
        <f t="shared" si="29"/>
        <v>3750</v>
      </c>
      <c r="AR22" s="41">
        <f t="shared" si="11"/>
        <v>47.421909047964441</v>
      </c>
      <c r="AS22" s="42"/>
      <c r="AT22" s="41"/>
      <c r="AV22" s="86"/>
      <c r="AW22" s="42">
        <f t="shared" si="31"/>
        <v>13500</v>
      </c>
      <c r="AX22" s="49">
        <f t="shared" si="13"/>
        <v>158.06655720629934</v>
      </c>
      <c r="AY22" s="42">
        <f t="shared" si="32"/>
        <v>20750</v>
      </c>
      <c r="AZ22" s="49">
        <f t="shared" si="14"/>
        <v>242.95415274301564</v>
      </c>
    </row>
    <row r="23" spans="1:52" ht="15.75" x14ac:dyDescent="0.25">
      <c r="A23" s="103"/>
      <c r="B23" s="89"/>
      <c r="C23" s="43">
        <f t="shared" si="15"/>
        <v>8750</v>
      </c>
      <c r="D23" s="44">
        <f t="shared" si="33"/>
        <v>119.9870755310463</v>
      </c>
      <c r="E23" s="44">
        <f t="shared" si="34"/>
        <v>55.304207267979045</v>
      </c>
      <c r="F23" s="45">
        <f t="shared" si="35"/>
        <v>27.636138460398033</v>
      </c>
      <c r="G23" s="9"/>
      <c r="H23" s="107"/>
      <c r="I23" s="110"/>
      <c r="J23" s="43">
        <f t="shared" si="16"/>
        <v>14000</v>
      </c>
      <c r="K23" s="44">
        <f t="shared" si="3"/>
        <v>191.97932084967411</v>
      </c>
      <c r="L23" s="44">
        <f t="shared" si="4"/>
        <v>88.486731628766464</v>
      </c>
      <c r="M23" s="45">
        <f t="shared" si="5"/>
        <v>44.217821536636862</v>
      </c>
      <c r="N23" s="33"/>
      <c r="O23" s="86"/>
      <c r="P23" s="46">
        <f t="shared" si="21"/>
        <v>4000</v>
      </c>
      <c r="Q23" s="48">
        <f t="shared" si="17"/>
        <v>119.86563013657707</v>
      </c>
      <c r="R23" s="47">
        <f t="shared" si="22"/>
        <v>11250</v>
      </c>
      <c r="S23" s="48">
        <f t="shared" si="6"/>
        <v>337.12208475912297</v>
      </c>
      <c r="T23" s="33"/>
      <c r="U23" s="86"/>
      <c r="V23" s="46">
        <f t="shared" si="23"/>
        <v>4000</v>
      </c>
      <c r="W23" s="48">
        <f t="shared" si="7"/>
        <v>93.921778150997682</v>
      </c>
      <c r="X23" s="47">
        <f t="shared" si="24"/>
        <v>11250</v>
      </c>
      <c r="Y23" s="48">
        <f t="shared" si="7"/>
        <v>264.155001049681</v>
      </c>
      <c r="Z23" s="33"/>
      <c r="AA23" s="33"/>
      <c r="AB23" s="86"/>
      <c r="AC23" s="46">
        <f t="shared" si="25"/>
        <v>4000</v>
      </c>
      <c r="AD23" s="49">
        <f t="shared" si="18"/>
        <v>83.014008988272408</v>
      </c>
      <c r="AE23" s="46">
        <f t="shared" si="26"/>
        <v>11250</v>
      </c>
      <c r="AF23" s="49">
        <f t="shared" si="8"/>
        <v>233.47690027951614</v>
      </c>
      <c r="AG23" s="33"/>
      <c r="AI23" s="86"/>
      <c r="AJ23" s="46">
        <f t="shared" si="27"/>
        <v>4000</v>
      </c>
      <c r="AK23" s="50">
        <f t="shared" si="19"/>
        <v>130.93592674187431</v>
      </c>
      <c r="AL23" s="51">
        <f t="shared" si="20"/>
        <v>103.36266631235017</v>
      </c>
      <c r="AM23" s="46">
        <f t="shared" si="28"/>
        <v>11250</v>
      </c>
      <c r="AN23" s="50">
        <f t="shared" si="9"/>
        <v>368.2572939615215</v>
      </c>
      <c r="AO23" s="51">
        <f t="shared" si="10"/>
        <v>290.70749900348483</v>
      </c>
      <c r="AP23" s="86"/>
      <c r="AQ23" s="42">
        <f t="shared" si="29"/>
        <v>4000</v>
      </c>
      <c r="AR23" s="41">
        <f t="shared" si="11"/>
        <v>50.583369651162073</v>
      </c>
      <c r="AS23" s="42"/>
      <c r="AT23" s="41"/>
      <c r="AV23" s="86"/>
      <c r="AW23" s="42">
        <f t="shared" si="31"/>
        <v>13750</v>
      </c>
      <c r="AX23" s="49">
        <f t="shared" si="13"/>
        <v>160.99371567308265</v>
      </c>
      <c r="AY23" s="42">
        <f t="shared" si="32"/>
        <v>21000</v>
      </c>
      <c r="AZ23" s="49">
        <f t="shared" si="14"/>
        <v>245.88131120979895</v>
      </c>
    </row>
    <row r="24" spans="1:52" ht="15.75" x14ac:dyDescent="0.25">
      <c r="A24" s="103"/>
      <c r="B24" s="89"/>
      <c r="C24" s="43">
        <f t="shared" si="15"/>
        <v>9000</v>
      </c>
      <c r="D24" s="44">
        <f t="shared" si="33"/>
        <v>123.41527768907621</v>
      </c>
      <c r="E24" s="44">
        <f t="shared" si="34"/>
        <v>56.884327475635587</v>
      </c>
      <c r="F24" s="45">
        <f t="shared" si="35"/>
        <v>28.42574241640941</v>
      </c>
      <c r="G24" s="9"/>
      <c r="H24" s="107"/>
      <c r="I24" s="110"/>
      <c r="J24" s="43">
        <f t="shared" si="16"/>
        <v>14250</v>
      </c>
      <c r="K24" s="44">
        <f t="shared" si="3"/>
        <v>195.40752300770399</v>
      </c>
      <c r="L24" s="44">
        <f t="shared" si="4"/>
        <v>90.066851836423012</v>
      </c>
      <c r="M24" s="45">
        <f t="shared" si="5"/>
        <v>45.007425492648231</v>
      </c>
      <c r="N24" s="33"/>
      <c r="O24" s="86"/>
      <c r="P24" s="46">
        <f t="shared" si="21"/>
        <v>4250</v>
      </c>
      <c r="Q24" s="48">
        <f t="shared" si="17"/>
        <v>127.35723202011313</v>
      </c>
      <c r="R24" s="47">
        <f t="shared" si="22"/>
        <v>11500</v>
      </c>
      <c r="S24" s="48">
        <f t="shared" si="6"/>
        <v>344.61368664265905</v>
      </c>
      <c r="T24" s="33"/>
      <c r="U24" s="86"/>
      <c r="V24" s="46">
        <f t="shared" si="23"/>
        <v>4250</v>
      </c>
      <c r="W24" s="48">
        <f t="shared" si="7"/>
        <v>99.791889285435047</v>
      </c>
      <c r="X24" s="47">
        <f t="shared" si="24"/>
        <v>11500</v>
      </c>
      <c r="Y24" s="48">
        <f t="shared" si="7"/>
        <v>270.02511218411837</v>
      </c>
      <c r="Z24" s="33"/>
      <c r="AA24" s="33"/>
      <c r="AB24" s="86"/>
      <c r="AC24" s="46">
        <f t="shared" si="25"/>
        <v>4250</v>
      </c>
      <c r="AD24" s="49">
        <f t="shared" si="18"/>
        <v>88.202384550039426</v>
      </c>
      <c r="AE24" s="46">
        <f t="shared" si="26"/>
        <v>11500</v>
      </c>
      <c r="AF24" s="49">
        <f t="shared" si="8"/>
        <v>238.66527584128318</v>
      </c>
      <c r="AG24" s="33"/>
      <c r="AI24" s="86"/>
      <c r="AJ24" s="46">
        <f t="shared" si="27"/>
        <v>4250</v>
      </c>
      <c r="AK24" s="50">
        <f t="shared" si="19"/>
        <v>139.11942216324144</v>
      </c>
      <c r="AL24" s="51">
        <f t="shared" si="20"/>
        <v>109.82283295687205</v>
      </c>
      <c r="AM24" s="46">
        <f t="shared" si="28"/>
        <v>11500</v>
      </c>
      <c r="AN24" s="50">
        <f t="shared" si="9"/>
        <v>376.44078938288862</v>
      </c>
      <c r="AO24" s="51">
        <f t="shared" si="10"/>
        <v>297.16766564800673</v>
      </c>
      <c r="AP24" s="86"/>
      <c r="AQ24" s="42">
        <f t="shared" si="29"/>
        <v>4250</v>
      </c>
      <c r="AR24" s="41">
        <f t="shared" si="11"/>
        <v>53.744830254359705</v>
      </c>
      <c r="AS24" s="42"/>
      <c r="AT24" s="41"/>
      <c r="AV24" s="86"/>
      <c r="AW24" s="42">
        <f t="shared" si="31"/>
        <v>14000</v>
      </c>
      <c r="AX24" s="49">
        <f t="shared" si="13"/>
        <v>163.92087413986596</v>
      </c>
      <c r="AY24" s="42">
        <f t="shared" si="32"/>
        <v>21250</v>
      </c>
      <c r="AZ24" s="49">
        <f t="shared" si="14"/>
        <v>248.80846967658229</v>
      </c>
    </row>
    <row r="25" spans="1:52" ht="15.75" x14ac:dyDescent="0.25">
      <c r="A25" s="103"/>
      <c r="B25" s="89"/>
      <c r="C25" s="43">
        <f t="shared" si="15"/>
        <v>9250</v>
      </c>
      <c r="D25" s="44">
        <f t="shared" si="33"/>
        <v>126.8434798471061</v>
      </c>
      <c r="E25" s="44">
        <f t="shared" si="34"/>
        <v>58.464447683292128</v>
      </c>
      <c r="F25" s="45">
        <f t="shared" si="35"/>
        <v>29.215346372420782</v>
      </c>
      <c r="G25" s="9"/>
      <c r="H25" s="107"/>
      <c r="I25" s="110"/>
      <c r="J25" s="43">
        <f t="shared" si="16"/>
        <v>14500</v>
      </c>
      <c r="K25" s="44">
        <f t="shared" si="3"/>
        <v>198.83572516573389</v>
      </c>
      <c r="L25" s="44">
        <f t="shared" si="4"/>
        <v>91.646972044079547</v>
      </c>
      <c r="M25" s="45">
        <f t="shared" si="5"/>
        <v>45.7970294486596</v>
      </c>
      <c r="N25" s="33"/>
      <c r="O25" s="86"/>
      <c r="P25" s="46">
        <f t="shared" si="21"/>
        <v>4500</v>
      </c>
      <c r="Q25" s="48">
        <f t="shared" si="17"/>
        <v>134.84883390364919</v>
      </c>
      <c r="R25" s="47">
        <f t="shared" si="22"/>
        <v>11750</v>
      </c>
      <c r="S25" s="48">
        <f t="shared" si="6"/>
        <v>352.10528852619512</v>
      </c>
      <c r="T25" s="33"/>
      <c r="U25" s="86"/>
      <c r="V25" s="46">
        <f t="shared" si="23"/>
        <v>4500</v>
      </c>
      <c r="W25" s="48">
        <f t="shared" si="7"/>
        <v>105.6620004198724</v>
      </c>
      <c r="X25" s="47">
        <f t="shared" si="24"/>
        <v>11750</v>
      </c>
      <c r="Y25" s="48">
        <f t="shared" si="7"/>
        <v>275.89522331855574</v>
      </c>
      <c r="Z25" s="33"/>
      <c r="AA25" s="33"/>
      <c r="AB25" s="86"/>
      <c r="AC25" s="46">
        <f t="shared" si="25"/>
        <v>4500</v>
      </c>
      <c r="AD25" s="49">
        <f t="shared" si="18"/>
        <v>93.390760111806458</v>
      </c>
      <c r="AE25" s="46">
        <f t="shared" si="26"/>
        <v>11750</v>
      </c>
      <c r="AF25" s="49">
        <f t="shared" si="8"/>
        <v>243.85365140305021</v>
      </c>
      <c r="AG25" s="33"/>
      <c r="AI25" s="86"/>
      <c r="AJ25" s="46">
        <f t="shared" si="27"/>
        <v>4500</v>
      </c>
      <c r="AK25" s="50">
        <f t="shared" si="19"/>
        <v>147.30291758460859</v>
      </c>
      <c r="AL25" s="51">
        <f t="shared" si="20"/>
        <v>116.28299960139394</v>
      </c>
      <c r="AM25" s="46">
        <f t="shared" si="28"/>
        <v>11750</v>
      </c>
      <c r="AN25" s="50">
        <f t="shared" si="9"/>
        <v>384.62428480425581</v>
      </c>
      <c r="AO25" s="51">
        <f t="shared" si="10"/>
        <v>303.62783229252864</v>
      </c>
      <c r="AP25" s="86"/>
      <c r="AQ25" s="42">
        <f t="shared" si="29"/>
        <v>4500</v>
      </c>
      <c r="AR25" s="41">
        <f t="shared" si="11"/>
        <v>56.90629085755733</v>
      </c>
      <c r="AS25" s="42"/>
      <c r="AT25" s="41"/>
      <c r="AV25" s="86"/>
      <c r="AW25" s="42">
        <f t="shared" si="31"/>
        <v>14250</v>
      </c>
      <c r="AX25" s="49">
        <f t="shared" si="13"/>
        <v>166.8480326066493</v>
      </c>
      <c r="AY25" s="42">
        <f t="shared" si="32"/>
        <v>21500</v>
      </c>
      <c r="AZ25" s="49">
        <f t="shared" si="14"/>
        <v>251.7356281433656</v>
      </c>
    </row>
    <row r="26" spans="1:52" ht="16.5" thickBot="1" x14ac:dyDescent="0.3">
      <c r="A26" s="103"/>
      <c r="B26" s="89"/>
      <c r="C26" s="43">
        <f t="shared" si="15"/>
        <v>9500</v>
      </c>
      <c r="D26" s="44">
        <f t="shared" si="33"/>
        <v>130.271682005136</v>
      </c>
      <c r="E26" s="44">
        <f t="shared" si="34"/>
        <v>60.04456789094867</v>
      </c>
      <c r="F26" s="45">
        <f t="shared" si="35"/>
        <v>30.004950328432152</v>
      </c>
      <c r="G26" s="9"/>
      <c r="H26" s="107"/>
      <c r="I26" s="111"/>
      <c r="J26" s="52">
        <f t="shared" si="16"/>
        <v>14750</v>
      </c>
      <c r="K26" s="44">
        <f t="shared" si="3"/>
        <v>202.2639273237638</v>
      </c>
      <c r="L26" s="44">
        <f t="shared" si="4"/>
        <v>93.227092251736096</v>
      </c>
      <c r="M26" s="45">
        <f t="shared" si="5"/>
        <v>46.586633404670977</v>
      </c>
      <c r="N26" s="33"/>
      <c r="O26" s="86"/>
      <c r="P26" s="46">
        <f t="shared" si="21"/>
        <v>4750</v>
      </c>
      <c r="Q26" s="48">
        <f t="shared" si="17"/>
        <v>142.34043578718524</v>
      </c>
      <c r="R26" s="47">
        <f t="shared" si="22"/>
        <v>12000</v>
      </c>
      <c r="S26" s="48">
        <f t="shared" si="6"/>
        <v>359.5968904097312</v>
      </c>
      <c r="T26" s="33"/>
      <c r="U26" s="86"/>
      <c r="V26" s="46">
        <f t="shared" si="23"/>
        <v>4750</v>
      </c>
      <c r="W26" s="48">
        <f t="shared" si="7"/>
        <v>111.53211155430976</v>
      </c>
      <c r="X26" s="47">
        <f t="shared" si="24"/>
        <v>12000</v>
      </c>
      <c r="Y26" s="48">
        <f t="shared" si="7"/>
        <v>281.76533445299305</v>
      </c>
      <c r="Z26" s="33"/>
      <c r="AA26" s="33"/>
      <c r="AB26" s="86"/>
      <c r="AC26" s="46">
        <f t="shared" si="25"/>
        <v>4750</v>
      </c>
      <c r="AD26" s="49">
        <f t="shared" si="18"/>
        <v>98.579135673573475</v>
      </c>
      <c r="AE26" s="46">
        <f t="shared" si="26"/>
        <v>12000</v>
      </c>
      <c r="AF26" s="49">
        <f t="shared" si="8"/>
        <v>249.04202696481721</v>
      </c>
      <c r="AG26" s="33"/>
      <c r="AI26" s="86"/>
      <c r="AJ26" s="46">
        <f t="shared" si="27"/>
        <v>4750</v>
      </c>
      <c r="AK26" s="50">
        <f t="shared" si="19"/>
        <v>155.48641300597575</v>
      </c>
      <c r="AL26" s="51">
        <f t="shared" si="20"/>
        <v>122.74316624591583</v>
      </c>
      <c r="AM26" s="46">
        <f t="shared" si="28"/>
        <v>12000</v>
      </c>
      <c r="AN26" s="50">
        <f t="shared" si="9"/>
        <v>392.80778022562293</v>
      </c>
      <c r="AO26" s="51">
        <f t="shared" si="10"/>
        <v>310.08799893705049</v>
      </c>
      <c r="AP26" s="86"/>
      <c r="AQ26" s="42">
        <f t="shared" si="29"/>
        <v>4750</v>
      </c>
      <c r="AR26" s="41">
        <f t="shared" si="11"/>
        <v>60.067751460754963</v>
      </c>
      <c r="AS26" s="42"/>
      <c r="AT26" s="41"/>
      <c r="AV26" s="86"/>
      <c r="AW26" s="42">
        <f t="shared" si="31"/>
        <v>14500</v>
      </c>
      <c r="AX26" s="49">
        <f t="shared" si="13"/>
        <v>169.77519107343261</v>
      </c>
      <c r="AY26" s="42">
        <f t="shared" si="32"/>
        <v>21750</v>
      </c>
      <c r="AZ26" s="49">
        <f t="shared" si="14"/>
        <v>254.66278661014891</v>
      </c>
    </row>
    <row r="27" spans="1:52" ht="15.75" customHeight="1" x14ac:dyDescent="0.25">
      <c r="A27" s="103"/>
      <c r="B27" s="89"/>
      <c r="C27" s="43">
        <f t="shared" si="15"/>
        <v>9750</v>
      </c>
      <c r="D27" s="44">
        <f t="shared" si="33"/>
        <v>133.69988416316588</v>
      </c>
      <c r="E27" s="44">
        <f t="shared" si="34"/>
        <v>61.624688098605219</v>
      </c>
      <c r="F27" s="45">
        <f t="shared" si="35"/>
        <v>30.794554284443524</v>
      </c>
      <c r="G27" s="9"/>
      <c r="H27" s="107"/>
      <c r="I27" s="91" t="s">
        <v>55</v>
      </c>
      <c r="J27" s="30">
        <f t="shared" si="16"/>
        <v>15000</v>
      </c>
      <c r="K27" s="44">
        <f t="shared" ref="K27:K35" si="36">PMT(bnc_15000/12, 180, -J27)</f>
        <v>175.13312158174034</v>
      </c>
      <c r="L27" s="44">
        <f t="shared" ref="L27:L35" si="37">PMT(bnc_15000/26, 180/12*26, -J27)</f>
        <v>80.752862062936345</v>
      </c>
      <c r="M27" s="45">
        <f t="shared" ref="M27:M35" si="38">PMT(bnc_15000/52, 180/12*52, -J27)</f>
        <v>40.359751598064037</v>
      </c>
      <c r="N27" s="33"/>
      <c r="O27" s="86"/>
      <c r="P27" s="46">
        <f t="shared" si="21"/>
        <v>5000</v>
      </c>
      <c r="Q27" s="48">
        <f t="shared" si="17"/>
        <v>149.83203767072132</v>
      </c>
      <c r="R27" s="47">
        <f>R26+250</f>
        <v>12250</v>
      </c>
      <c r="S27" s="48">
        <f t="shared" si="6"/>
        <v>367.08849229326722</v>
      </c>
      <c r="T27" s="33"/>
      <c r="U27" s="86"/>
      <c r="V27" s="46">
        <f t="shared" si="23"/>
        <v>5000</v>
      </c>
      <c r="W27" s="48">
        <f t="shared" si="7"/>
        <v>117.4022226887471</v>
      </c>
      <c r="X27" s="47">
        <f>X26+250</f>
        <v>12250</v>
      </c>
      <c r="Y27" s="48">
        <f t="shared" si="7"/>
        <v>287.63544558743041</v>
      </c>
      <c r="Z27" s="33"/>
      <c r="AA27" s="33"/>
      <c r="AB27" s="86"/>
      <c r="AC27" s="46">
        <f t="shared" si="25"/>
        <v>5000</v>
      </c>
      <c r="AD27" s="49">
        <f t="shared" si="18"/>
        <v>103.76751123534051</v>
      </c>
      <c r="AE27" s="46">
        <f>AE26+250</f>
        <v>12250</v>
      </c>
      <c r="AF27" s="49">
        <f t="shared" si="8"/>
        <v>254.23040252658424</v>
      </c>
      <c r="AG27" s="33"/>
      <c r="AI27" s="86"/>
      <c r="AJ27" s="46">
        <f t="shared" si="27"/>
        <v>5000</v>
      </c>
      <c r="AK27" s="50">
        <f t="shared" si="19"/>
        <v>163.66990842734288</v>
      </c>
      <c r="AL27" s="51">
        <f t="shared" si="20"/>
        <v>129.20333289043771</v>
      </c>
      <c r="AM27" s="46">
        <f>AM26+250</f>
        <v>12250</v>
      </c>
      <c r="AN27" s="50">
        <f t="shared" si="9"/>
        <v>400.99127564699006</v>
      </c>
      <c r="AO27" s="51">
        <f t="shared" si="10"/>
        <v>316.54816558157239</v>
      </c>
      <c r="AP27" s="86"/>
      <c r="AQ27" s="42">
        <f t="shared" si="29"/>
        <v>5000</v>
      </c>
      <c r="AR27" s="41">
        <f t="shared" si="11"/>
        <v>63.229212063952595</v>
      </c>
      <c r="AS27" s="42"/>
      <c r="AT27" s="41"/>
      <c r="AV27" s="86"/>
      <c r="AW27" s="42">
        <f t="shared" si="31"/>
        <v>14750</v>
      </c>
      <c r="AX27" s="49">
        <f t="shared" si="13"/>
        <v>172.70234954021592</v>
      </c>
      <c r="AY27" s="42">
        <f>AY26+250</f>
        <v>22000</v>
      </c>
      <c r="AZ27" s="49">
        <f t="shared" si="14"/>
        <v>257.58994507693222</v>
      </c>
    </row>
    <row r="28" spans="1:52" ht="15.6" customHeight="1" thickBot="1" x14ac:dyDescent="0.3">
      <c r="A28" s="104"/>
      <c r="B28" s="90"/>
      <c r="C28" s="52">
        <f t="shared" si="15"/>
        <v>10000</v>
      </c>
      <c r="D28" s="44">
        <f t="shared" si="33"/>
        <v>137.12808632119578</v>
      </c>
      <c r="E28" s="44">
        <f t="shared" si="34"/>
        <v>63.204808306261761</v>
      </c>
      <c r="F28" s="45">
        <f t="shared" si="35"/>
        <v>31.584158240454897</v>
      </c>
      <c r="G28" s="9"/>
      <c r="H28" s="107"/>
      <c r="I28" s="92"/>
      <c r="J28" s="43">
        <f t="shared" si="16"/>
        <v>15250</v>
      </c>
      <c r="K28" s="44">
        <f t="shared" si="36"/>
        <v>178.05200694143599</v>
      </c>
      <c r="L28" s="44">
        <f t="shared" si="37"/>
        <v>82.098743097318618</v>
      </c>
      <c r="M28" s="45">
        <f t="shared" si="38"/>
        <v>41.032414124698434</v>
      </c>
      <c r="N28" s="33"/>
      <c r="O28" s="86"/>
      <c r="P28" s="46">
        <f>P27+250</f>
        <v>5250</v>
      </c>
      <c r="Q28" s="48">
        <f t="shared" si="17"/>
        <v>157.3236395542574</v>
      </c>
      <c r="R28" s="47">
        <f t="shared" si="22"/>
        <v>12500</v>
      </c>
      <c r="S28" s="48">
        <f t="shared" si="6"/>
        <v>374.5800941768033</v>
      </c>
      <c r="T28" s="33"/>
      <c r="U28" s="86"/>
      <c r="V28" s="46">
        <f>V27+250</f>
        <v>5250</v>
      </c>
      <c r="W28" s="48">
        <f t="shared" si="7"/>
        <v>123.27233382318447</v>
      </c>
      <c r="X28" s="47">
        <f t="shared" si="24"/>
        <v>12500</v>
      </c>
      <c r="Y28" s="48">
        <f t="shared" si="7"/>
        <v>293.50555672186778</v>
      </c>
      <c r="Z28" s="33"/>
      <c r="AA28" s="33"/>
      <c r="AB28" s="86"/>
      <c r="AC28" s="46">
        <f>AC27+250</f>
        <v>5250</v>
      </c>
      <c r="AD28" s="49">
        <f t="shared" si="18"/>
        <v>108.95588679710754</v>
      </c>
      <c r="AE28" s="46">
        <f t="shared" si="26"/>
        <v>12500</v>
      </c>
      <c r="AF28" s="49">
        <f t="shared" si="8"/>
        <v>259.41877808835125</v>
      </c>
      <c r="AG28" s="33"/>
      <c r="AI28" s="86"/>
      <c r="AJ28" s="46">
        <f>AJ27+250</f>
        <v>5250</v>
      </c>
      <c r="AK28" s="50">
        <f t="shared" si="19"/>
        <v>171.85340384871003</v>
      </c>
      <c r="AL28" s="51">
        <f t="shared" si="20"/>
        <v>135.66349953495958</v>
      </c>
      <c r="AM28" s="46">
        <f t="shared" si="28"/>
        <v>12500</v>
      </c>
      <c r="AN28" s="50">
        <f t="shared" si="9"/>
        <v>409.17477106835724</v>
      </c>
      <c r="AO28" s="51">
        <f t="shared" si="10"/>
        <v>323.00833222609424</v>
      </c>
      <c r="AP28" s="86"/>
      <c r="AQ28" s="42">
        <f t="shared" si="29"/>
        <v>5250</v>
      </c>
      <c r="AR28" s="41">
        <f t="shared" si="11"/>
        <v>66.390672667150213</v>
      </c>
      <c r="AS28" s="42"/>
      <c r="AT28" s="41"/>
      <c r="AV28" s="86"/>
      <c r="AW28" s="42">
        <f>AW27+250</f>
        <v>15000</v>
      </c>
      <c r="AX28" s="49">
        <f t="shared" si="13"/>
        <v>175.62950800699926</v>
      </c>
      <c r="AY28" s="42">
        <f t="shared" si="32"/>
        <v>22250</v>
      </c>
      <c r="AZ28" s="49">
        <f t="shared" si="14"/>
        <v>260.51710354371556</v>
      </c>
    </row>
    <row r="29" spans="1:52" ht="15.75" x14ac:dyDescent="0.25">
      <c r="A29" s="53"/>
      <c r="B29" s="53"/>
      <c r="G29" s="9"/>
      <c r="H29" s="107"/>
      <c r="I29" s="92"/>
      <c r="J29" s="43">
        <f t="shared" si="16"/>
        <v>15500</v>
      </c>
      <c r="K29" s="44">
        <f t="shared" si="36"/>
        <v>180.97089230113167</v>
      </c>
      <c r="L29" s="44">
        <f t="shared" si="37"/>
        <v>83.444624131700891</v>
      </c>
      <c r="M29" s="45">
        <f t="shared" si="38"/>
        <v>41.705076651332845</v>
      </c>
      <c r="N29" s="33"/>
      <c r="O29" s="86"/>
      <c r="P29" s="46">
        <f t="shared" si="21"/>
        <v>5500</v>
      </c>
      <c r="Q29" s="48">
        <f t="shared" si="17"/>
        <v>164.81524143779345</v>
      </c>
      <c r="R29" s="47">
        <f t="shared" si="22"/>
        <v>12750</v>
      </c>
      <c r="S29" s="48">
        <f t="shared" si="6"/>
        <v>382.07169606033938</v>
      </c>
      <c r="T29" s="33"/>
      <c r="U29" s="86"/>
      <c r="V29" s="46">
        <f t="shared" si="23"/>
        <v>5500</v>
      </c>
      <c r="W29" s="48">
        <f t="shared" si="7"/>
        <v>129.14244495762182</v>
      </c>
      <c r="X29" s="47">
        <f t="shared" si="24"/>
        <v>12750</v>
      </c>
      <c r="Y29" s="48">
        <f t="shared" si="7"/>
        <v>299.37566785630514</v>
      </c>
      <c r="Z29" s="33"/>
      <c r="AA29" s="33"/>
      <c r="AB29" s="86"/>
      <c r="AC29" s="46">
        <f t="shared" si="25"/>
        <v>5500</v>
      </c>
      <c r="AD29" s="49">
        <f t="shared" si="18"/>
        <v>114.14426235887456</v>
      </c>
      <c r="AE29" s="46">
        <f t="shared" si="26"/>
        <v>12750</v>
      </c>
      <c r="AF29" s="49">
        <f t="shared" si="8"/>
        <v>264.60715365011828</v>
      </c>
      <c r="AG29" s="33"/>
      <c r="AI29" s="86"/>
      <c r="AJ29" s="46">
        <f t="shared" si="27"/>
        <v>5500</v>
      </c>
      <c r="AK29" s="50">
        <f t="shared" si="19"/>
        <v>180.03689927007719</v>
      </c>
      <c r="AL29" s="51">
        <f t="shared" si="20"/>
        <v>142.12366617948149</v>
      </c>
      <c r="AM29" s="46">
        <f t="shared" si="28"/>
        <v>12750</v>
      </c>
      <c r="AN29" s="50">
        <f t="shared" si="9"/>
        <v>417.35826648972437</v>
      </c>
      <c r="AO29" s="51">
        <f t="shared" si="10"/>
        <v>329.4684988706162</v>
      </c>
      <c r="AP29" s="86"/>
      <c r="AQ29" s="42">
        <f t="shared" si="29"/>
        <v>5500</v>
      </c>
      <c r="AR29" s="41">
        <f t="shared" si="11"/>
        <v>69.552133270347852</v>
      </c>
      <c r="AS29" s="42"/>
      <c r="AT29" s="41"/>
      <c r="AV29" s="86"/>
      <c r="AW29" s="42">
        <f t="shared" si="31"/>
        <v>15250</v>
      </c>
      <c r="AX29" s="49">
        <f t="shared" si="13"/>
        <v>178.55666647378257</v>
      </c>
      <c r="AY29" s="42">
        <f t="shared" si="32"/>
        <v>22500</v>
      </c>
      <c r="AZ29" s="49">
        <f t="shared" si="14"/>
        <v>263.44426201049885</v>
      </c>
    </row>
    <row r="30" spans="1:52" ht="15.75" x14ac:dyDescent="0.25">
      <c r="A30" s="53"/>
      <c r="B30" s="53"/>
      <c r="G30" s="9"/>
      <c r="H30" s="107"/>
      <c r="I30" s="92"/>
      <c r="J30" s="43">
        <f t="shared" si="16"/>
        <v>15750</v>
      </c>
      <c r="K30" s="44">
        <f t="shared" si="36"/>
        <v>183.88977766082732</v>
      </c>
      <c r="L30" s="44">
        <f t="shared" si="37"/>
        <v>84.790505166083165</v>
      </c>
      <c r="M30" s="45">
        <f t="shared" si="38"/>
        <v>42.377739177967243</v>
      </c>
      <c r="N30" s="33"/>
      <c r="O30" s="86"/>
      <c r="P30" s="46">
        <f t="shared" si="21"/>
        <v>5750</v>
      </c>
      <c r="Q30" s="48">
        <f t="shared" si="17"/>
        <v>172.30684332132952</v>
      </c>
      <c r="R30" s="47">
        <f t="shared" si="22"/>
        <v>13000</v>
      </c>
      <c r="S30" s="48">
        <f t="shared" si="6"/>
        <v>389.56329794387545</v>
      </c>
      <c r="T30" s="33"/>
      <c r="U30" s="86"/>
      <c r="V30" s="46">
        <f t="shared" si="23"/>
        <v>5750</v>
      </c>
      <c r="W30" s="48">
        <f t="shared" si="7"/>
        <v>135.01255609205919</v>
      </c>
      <c r="X30" s="47">
        <f t="shared" si="24"/>
        <v>13000</v>
      </c>
      <c r="Y30" s="48">
        <f t="shared" si="7"/>
        <v>305.24577899074251</v>
      </c>
      <c r="Z30" s="33"/>
      <c r="AA30" s="33"/>
      <c r="AB30" s="86"/>
      <c r="AC30" s="46">
        <f t="shared" si="25"/>
        <v>5750</v>
      </c>
      <c r="AD30" s="49">
        <f t="shared" si="18"/>
        <v>119.33263792064159</v>
      </c>
      <c r="AE30" s="46">
        <f t="shared" si="26"/>
        <v>13000</v>
      </c>
      <c r="AF30" s="49">
        <f t="shared" si="8"/>
        <v>269.79552921188531</v>
      </c>
      <c r="AG30" s="33"/>
      <c r="AI30" s="86"/>
      <c r="AJ30" s="46">
        <f t="shared" si="27"/>
        <v>5750</v>
      </c>
      <c r="AK30" s="50">
        <f t="shared" si="19"/>
        <v>188.22039469144431</v>
      </c>
      <c r="AL30" s="51">
        <f t="shared" si="20"/>
        <v>148.58383282400337</v>
      </c>
      <c r="AM30" s="46">
        <f t="shared" si="28"/>
        <v>13000</v>
      </c>
      <c r="AN30" s="50">
        <f t="shared" si="9"/>
        <v>425.5417619110915</v>
      </c>
      <c r="AO30" s="51">
        <f t="shared" si="10"/>
        <v>335.92866551513805</v>
      </c>
      <c r="AP30" s="86"/>
      <c r="AQ30" s="42">
        <f t="shared" si="29"/>
        <v>5750</v>
      </c>
      <c r="AR30" s="41">
        <f t="shared" si="11"/>
        <v>72.713593873545477</v>
      </c>
      <c r="AS30" s="42"/>
      <c r="AT30" s="41"/>
      <c r="AV30" s="86"/>
      <c r="AW30" s="42">
        <f t="shared" si="31"/>
        <v>15500</v>
      </c>
      <c r="AX30" s="49">
        <f t="shared" si="13"/>
        <v>181.48382494056588</v>
      </c>
      <c r="AY30" s="42">
        <f t="shared" si="32"/>
        <v>22750</v>
      </c>
      <c r="AZ30" s="49">
        <f t="shared" si="14"/>
        <v>266.37142047728224</v>
      </c>
    </row>
    <row r="31" spans="1:52" ht="15.75" x14ac:dyDescent="0.25">
      <c r="A31" s="53"/>
      <c r="B31" s="53"/>
      <c r="G31" s="9"/>
      <c r="H31" s="107"/>
      <c r="I31" s="92"/>
      <c r="J31" s="43">
        <f t="shared" si="16"/>
        <v>16000</v>
      </c>
      <c r="K31" s="44">
        <f t="shared" si="36"/>
        <v>186.80866302052303</v>
      </c>
      <c r="L31" s="44">
        <f t="shared" si="37"/>
        <v>86.136386200465438</v>
      </c>
      <c r="M31" s="45">
        <f t="shared" si="38"/>
        <v>43.050401704601647</v>
      </c>
      <c r="N31" s="33"/>
      <c r="O31" s="86"/>
      <c r="P31" s="46">
        <f t="shared" si="21"/>
        <v>6000</v>
      </c>
      <c r="Q31" s="48">
        <f t="shared" si="17"/>
        <v>179.7984452048656</v>
      </c>
      <c r="R31" s="47">
        <f t="shared" si="22"/>
        <v>13250</v>
      </c>
      <c r="S31" s="48">
        <f t="shared" si="6"/>
        <v>397.05489982741153</v>
      </c>
      <c r="T31" s="33"/>
      <c r="U31" s="86"/>
      <c r="V31" s="46">
        <f t="shared" si="23"/>
        <v>6000</v>
      </c>
      <c r="W31" s="48">
        <f t="shared" si="7"/>
        <v>140.88266722649652</v>
      </c>
      <c r="X31" s="47">
        <f t="shared" si="24"/>
        <v>13250</v>
      </c>
      <c r="Y31" s="48">
        <f t="shared" si="7"/>
        <v>311.11589012517982</v>
      </c>
      <c r="Z31" s="33"/>
      <c r="AA31" s="33"/>
      <c r="AB31" s="86"/>
      <c r="AC31" s="46">
        <f t="shared" si="25"/>
        <v>6000</v>
      </c>
      <c r="AD31" s="49">
        <f t="shared" si="18"/>
        <v>124.52101348240861</v>
      </c>
      <c r="AE31" s="46">
        <f t="shared" si="26"/>
        <v>13250</v>
      </c>
      <c r="AF31" s="49">
        <f t="shared" si="8"/>
        <v>274.98390477365234</v>
      </c>
      <c r="AG31" s="33"/>
      <c r="AI31" s="86"/>
      <c r="AJ31" s="46">
        <f t="shared" si="27"/>
        <v>6000</v>
      </c>
      <c r="AK31" s="50">
        <f t="shared" si="19"/>
        <v>196.40389011281147</v>
      </c>
      <c r="AL31" s="51">
        <f t="shared" si="20"/>
        <v>155.04399946852524</v>
      </c>
      <c r="AM31" s="46">
        <f t="shared" si="28"/>
        <v>13250</v>
      </c>
      <c r="AN31" s="50">
        <f t="shared" si="9"/>
        <v>433.72525733245868</v>
      </c>
      <c r="AO31" s="51">
        <f t="shared" si="10"/>
        <v>342.38883215965996</v>
      </c>
      <c r="AP31" s="86"/>
      <c r="AQ31" s="42">
        <f t="shared" si="29"/>
        <v>6000</v>
      </c>
      <c r="AR31" s="41">
        <f t="shared" si="11"/>
        <v>75.875054476743102</v>
      </c>
      <c r="AS31" s="42"/>
      <c r="AT31" s="41"/>
      <c r="AV31" s="86"/>
      <c r="AW31" s="42">
        <f t="shared" si="31"/>
        <v>15750</v>
      </c>
      <c r="AX31" s="49">
        <f t="shared" si="13"/>
        <v>184.41098340734922</v>
      </c>
      <c r="AY31" s="42">
        <f t="shared" si="32"/>
        <v>23000</v>
      </c>
      <c r="AZ31" s="49">
        <f t="shared" si="14"/>
        <v>269.29857894406553</v>
      </c>
    </row>
    <row r="32" spans="1:52" ht="15.75" x14ac:dyDescent="0.25">
      <c r="A32" s="53"/>
      <c r="B32" s="53"/>
      <c r="G32" s="9"/>
      <c r="H32" s="107"/>
      <c r="I32" s="92"/>
      <c r="J32" s="43">
        <f t="shared" si="16"/>
        <v>16250</v>
      </c>
      <c r="K32" s="44">
        <f t="shared" si="36"/>
        <v>189.72754838021868</v>
      </c>
      <c r="L32" s="44">
        <f t="shared" si="37"/>
        <v>87.482267234847711</v>
      </c>
      <c r="M32" s="45">
        <f t="shared" si="38"/>
        <v>43.723064231236044</v>
      </c>
      <c r="N32" s="33"/>
      <c r="O32" s="86"/>
      <c r="P32" s="46">
        <f t="shared" si="21"/>
        <v>6250</v>
      </c>
      <c r="Q32" s="48">
        <f t="shared" si="17"/>
        <v>187.29004708840165</v>
      </c>
      <c r="R32" s="47">
        <f t="shared" si="22"/>
        <v>13500</v>
      </c>
      <c r="S32" s="48">
        <f t="shared" si="6"/>
        <v>404.54650171094755</v>
      </c>
      <c r="T32" s="33"/>
      <c r="U32" s="86"/>
      <c r="V32" s="46">
        <f t="shared" si="23"/>
        <v>6250</v>
      </c>
      <c r="W32" s="48">
        <f t="shared" si="7"/>
        <v>146.75277836093389</v>
      </c>
      <c r="X32" s="47">
        <f t="shared" si="24"/>
        <v>13500</v>
      </c>
      <c r="Y32" s="48">
        <f t="shared" si="7"/>
        <v>316.98600125961718</v>
      </c>
      <c r="Z32" s="33"/>
      <c r="AA32" s="33"/>
      <c r="AB32" s="86"/>
      <c r="AC32" s="46">
        <f t="shared" si="25"/>
        <v>6250</v>
      </c>
      <c r="AD32" s="49">
        <f t="shared" si="18"/>
        <v>129.70938904417562</v>
      </c>
      <c r="AE32" s="46">
        <f t="shared" si="26"/>
        <v>13500</v>
      </c>
      <c r="AF32" s="49">
        <f t="shared" si="8"/>
        <v>280.17228033541937</v>
      </c>
      <c r="AG32" s="33"/>
      <c r="AI32" s="86"/>
      <c r="AJ32" s="46">
        <f t="shared" si="27"/>
        <v>6250</v>
      </c>
      <c r="AK32" s="50">
        <f t="shared" si="19"/>
        <v>204.58738553417862</v>
      </c>
      <c r="AL32" s="51">
        <f t="shared" si="20"/>
        <v>161.50416611304712</v>
      </c>
      <c r="AM32" s="46">
        <f t="shared" si="28"/>
        <v>13500</v>
      </c>
      <c r="AN32" s="50">
        <f t="shared" si="9"/>
        <v>441.90875275382581</v>
      </c>
      <c r="AO32" s="51">
        <f t="shared" si="10"/>
        <v>348.84899880418186</v>
      </c>
      <c r="AP32" s="86"/>
      <c r="AQ32" s="42">
        <f t="shared" si="29"/>
        <v>6250</v>
      </c>
      <c r="AR32" s="41">
        <f t="shared" si="11"/>
        <v>79.036515079940742</v>
      </c>
      <c r="AS32" s="42"/>
      <c r="AT32" s="41"/>
      <c r="AV32" s="86"/>
      <c r="AW32" s="42">
        <f t="shared" si="31"/>
        <v>16000</v>
      </c>
      <c r="AX32" s="49">
        <f t="shared" si="13"/>
        <v>187.33814187413253</v>
      </c>
      <c r="AY32" s="42">
        <f t="shared" si="32"/>
        <v>23250</v>
      </c>
      <c r="AZ32" s="49">
        <f t="shared" si="14"/>
        <v>272.22573741084881</v>
      </c>
    </row>
    <row r="33" spans="1:52" ht="15.75" x14ac:dyDescent="0.25">
      <c r="A33" s="53"/>
      <c r="B33" s="53"/>
      <c r="G33" s="9"/>
      <c r="H33" s="107"/>
      <c r="I33" s="92"/>
      <c r="J33" s="43">
        <f t="shared" si="16"/>
        <v>16500</v>
      </c>
      <c r="K33" s="44">
        <f t="shared" si="36"/>
        <v>192.64643373991436</v>
      </c>
      <c r="L33" s="44">
        <f t="shared" si="37"/>
        <v>88.828148269229985</v>
      </c>
      <c r="M33" s="45">
        <f t="shared" si="38"/>
        <v>44.395726757870442</v>
      </c>
      <c r="N33" s="33"/>
      <c r="O33" s="86"/>
      <c r="P33" s="46">
        <f t="shared" si="21"/>
        <v>6500</v>
      </c>
      <c r="Q33" s="48">
        <f t="shared" si="17"/>
        <v>194.78164897193773</v>
      </c>
      <c r="R33" s="47">
        <f t="shared" si="22"/>
        <v>13750</v>
      </c>
      <c r="S33" s="48">
        <f t="shared" si="6"/>
        <v>412.03810359448363</v>
      </c>
      <c r="T33" s="33"/>
      <c r="U33" s="86"/>
      <c r="V33" s="46">
        <f t="shared" si="23"/>
        <v>6500</v>
      </c>
      <c r="W33" s="48">
        <f t="shared" si="7"/>
        <v>152.62288949537125</v>
      </c>
      <c r="X33" s="47">
        <f t="shared" si="24"/>
        <v>13750</v>
      </c>
      <c r="Y33" s="48">
        <f t="shared" si="7"/>
        <v>322.85611239405455</v>
      </c>
      <c r="Z33" s="33"/>
      <c r="AA33" s="33"/>
      <c r="AB33" s="86"/>
      <c r="AC33" s="46">
        <f t="shared" si="25"/>
        <v>6500</v>
      </c>
      <c r="AD33" s="49">
        <f t="shared" si="18"/>
        <v>134.89776460594265</v>
      </c>
      <c r="AE33" s="46">
        <f t="shared" si="26"/>
        <v>13750</v>
      </c>
      <c r="AF33" s="49">
        <f t="shared" si="8"/>
        <v>285.3606558971864</v>
      </c>
      <c r="AG33" s="33"/>
      <c r="AI33" s="86"/>
      <c r="AJ33" s="46">
        <f t="shared" si="27"/>
        <v>6500</v>
      </c>
      <c r="AK33" s="50">
        <f t="shared" si="19"/>
        <v>212.77088095554575</v>
      </c>
      <c r="AL33" s="51">
        <f t="shared" si="20"/>
        <v>167.96433275756903</v>
      </c>
      <c r="AM33" s="46">
        <f t="shared" si="28"/>
        <v>13750</v>
      </c>
      <c r="AN33" s="50">
        <f t="shared" si="9"/>
        <v>450.09224817519294</v>
      </c>
      <c r="AO33" s="51">
        <f t="shared" si="10"/>
        <v>355.30916544870371</v>
      </c>
      <c r="AP33" s="86"/>
      <c r="AQ33" s="42">
        <f t="shared" si="29"/>
        <v>6500</v>
      </c>
      <c r="AR33" s="41">
        <f t="shared" si="11"/>
        <v>82.197975683138367</v>
      </c>
      <c r="AS33" s="42"/>
      <c r="AT33" s="41"/>
      <c r="AV33" s="86"/>
      <c r="AW33" s="42">
        <f t="shared" si="31"/>
        <v>16250</v>
      </c>
      <c r="AX33" s="49">
        <f t="shared" si="13"/>
        <v>190.26530034091584</v>
      </c>
      <c r="AY33" s="42">
        <f t="shared" si="32"/>
        <v>23500</v>
      </c>
      <c r="AZ33" s="49">
        <f t="shared" si="14"/>
        <v>275.1528958776322</v>
      </c>
    </row>
    <row r="34" spans="1:52" ht="15.75" x14ac:dyDescent="0.25">
      <c r="A34" s="53"/>
      <c r="B34" s="53"/>
      <c r="G34" s="9"/>
      <c r="H34" s="107"/>
      <c r="I34" s="92"/>
      <c r="J34" s="43">
        <f t="shared" si="16"/>
        <v>16750</v>
      </c>
      <c r="K34" s="44">
        <f t="shared" si="36"/>
        <v>195.56531909961001</v>
      </c>
      <c r="L34" s="44">
        <f t="shared" si="37"/>
        <v>90.174029303612258</v>
      </c>
      <c r="M34" s="45">
        <f t="shared" si="38"/>
        <v>45.068389284504846</v>
      </c>
      <c r="N34" s="33"/>
      <c r="O34" s="86"/>
      <c r="P34" s="46">
        <f t="shared" si="21"/>
        <v>6750</v>
      </c>
      <c r="Q34" s="48">
        <f t="shared" si="17"/>
        <v>202.27325085547378</v>
      </c>
      <c r="R34" s="47">
        <f t="shared" si="22"/>
        <v>14000</v>
      </c>
      <c r="S34" s="48">
        <f t="shared" si="6"/>
        <v>419.52970547801971</v>
      </c>
      <c r="T34" s="33"/>
      <c r="U34" s="86"/>
      <c r="V34" s="46">
        <f t="shared" si="23"/>
        <v>6750</v>
      </c>
      <c r="W34" s="48">
        <f t="shared" si="7"/>
        <v>158.49300062980859</v>
      </c>
      <c r="X34" s="47">
        <f t="shared" si="24"/>
        <v>14000</v>
      </c>
      <c r="Y34" s="48">
        <f t="shared" si="7"/>
        <v>328.72622352849191</v>
      </c>
      <c r="Z34" s="33"/>
      <c r="AA34" s="33"/>
      <c r="AB34" s="86"/>
      <c r="AC34" s="46">
        <f t="shared" si="25"/>
        <v>6750</v>
      </c>
      <c r="AD34" s="49">
        <f t="shared" si="18"/>
        <v>140.08614016770969</v>
      </c>
      <c r="AE34" s="46">
        <f t="shared" si="26"/>
        <v>14000</v>
      </c>
      <c r="AF34" s="49">
        <f t="shared" si="8"/>
        <v>290.54903145895338</v>
      </c>
      <c r="AG34" s="33"/>
      <c r="AI34" s="86"/>
      <c r="AJ34" s="46">
        <f t="shared" si="27"/>
        <v>6750</v>
      </c>
      <c r="AK34" s="50">
        <f t="shared" si="19"/>
        <v>220.9543763769129</v>
      </c>
      <c r="AL34" s="51">
        <f t="shared" si="20"/>
        <v>174.42449940209093</v>
      </c>
      <c r="AM34" s="46">
        <f t="shared" si="28"/>
        <v>14000</v>
      </c>
      <c r="AN34" s="50">
        <f t="shared" si="9"/>
        <v>458.27574359656012</v>
      </c>
      <c r="AO34" s="51">
        <f t="shared" si="10"/>
        <v>361.76933209322561</v>
      </c>
      <c r="AP34" s="86"/>
      <c r="AQ34" s="42">
        <f t="shared" si="29"/>
        <v>6750</v>
      </c>
      <c r="AR34" s="41">
        <f t="shared" si="11"/>
        <v>85.359436286335992</v>
      </c>
      <c r="AS34" s="42"/>
      <c r="AT34" s="41"/>
      <c r="AV34" s="86"/>
      <c r="AW34" s="42">
        <f t="shared" si="31"/>
        <v>16500</v>
      </c>
      <c r="AX34" s="49">
        <f t="shared" si="13"/>
        <v>193.19245880769915</v>
      </c>
      <c r="AY34" s="42">
        <f t="shared" si="32"/>
        <v>23750</v>
      </c>
      <c r="AZ34" s="49">
        <f t="shared" si="14"/>
        <v>278.08005434441549</v>
      </c>
    </row>
    <row r="35" spans="1:52" ht="14.45" customHeight="1" x14ac:dyDescent="0.25">
      <c r="A35" s="53"/>
      <c r="B35" s="53"/>
      <c r="G35" s="9"/>
      <c r="H35" s="107"/>
      <c r="I35" s="92"/>
      <c r="J35" s="43">
        <f t="shared" si="16"/>
        <v>17000</v>
      </c>
      <c r="K35" s="44">
        <f t="shared" si="36"/>
        <v>198.48420445930572</v>
      </c>
      <c r="L35" s="44">
        <f t="shared" si="37"/>
        <v>91.519910337994531</v>
      </c>
      <c r="M35" s="45">
        <f t="shared" si="38"/>
        <v>45.741051811139243</v>
      </c>
      <c r="N35" s="33"/>
      <c r="O35" s="86"/>
      <c r="P35" s="46">
        <f t="shared" si="21"/>
        <v>7000</v>
      </c>
      <c r="Q35" s="48">
        <f t="shared" si="17"/>
        <v>209.76485273900985</v>
      </c>
      <c r="R35" s="47">
        <f t="shared" si="22"/>
        <v>14250</v>
      </c>
      <c r="S35" s="48">
        <f t="shared" si="6"/>
        <v>427.02130736155578</v>
      </c>
      <c r="T35" s="33"/>
      <c r="U35" s="86"/>
      <c r="V35" s="46">
        <f t="shared" si="23"/>
        <v>7000</v>
      </c>
      <c r="W35" s="48">
        <f t="shared" si="7"/>
        <v>164.36311176424596</v>
      </c>
      <c r="X35" s="47">
        <f t="shared" si="24"/>
        <v>14250</v>
      </c>
      <c r="Y35" s="48">
        <f t="shared" si="7"/>
        <v>334.59633466292922</v>
      </c>
      <c r="Z35" s="33"/>
      <c r="AA35" s="33"/>
      <c r="AB35" s="86"/>
      <c r="AC35" s="46">
        <f t="shared" si="25"/>
        <v>7000</v>
      </c>
      <c r="AD35" s="49">
        <f t="shared" si="18"/>
        <v>145.27451572947669</v>
      </c>
      <c r="AE35" s="46">
        <f t="shared" si="26"/>
        <v>14250</v>
      </c>
      <c r="AF35" s="49">
        <f t="shared" si="8"/>
        <v>295.73740702072041</v>
      </c>
      <c r="AG35" s="33"/>
      <c r="AI35" s="86"/>
      <c r="AJ35" s="46">
        <f t="shared" si="27"/>
        <v>7000</v>
      </c>
      <c r="AK35" s="50">
        <f t="shared" si="19"/>
        <v>229.13787179828006</v>
      </c>
      <c r="AL35" s="51">
        <f t="shared" si="20"/>
        <v>180.88466604661281</v>
      </c>
      <c r="AM35" s="46">
        <f t="shared" si="28"/>
        <v>14250</v>
      </c>
      <c r="AN35" s="50">
        <f t="shared" si="9"/>
        <v>466.45923901792725</v>
      </c>
      <c r="AO35" s="51">
        <f t="shared" si="10"/>
        <v>368.22949873774746</v>
      </c>
      <c r="AP35" s="86"/>
      <c r="AQ35" s="42">
        <f t="shared" si="29"/>
        <v>7000</v>
      </c>
      <c r="AR35" s="41">
        <f t="shared" si="11"/>
        <v>88.520896889533631</v>
      </c>
      <c r="AS35" s="42"/>
      <c r="AT35" s="41"/>
      <c r="AV35" s="86"/>
      <c r="AW35" s="42">
        <f t="shared" si="31"/>
        <v>16750</v>
      </c>
      <c r="AX35" s="49">
        <f t="shared" si="13"/>
        <v>196.11961727448249</v>
      </c>
      <c r="AY35" s="42">
        <f t="shared" si="32"/>
        <v>24000</v>
      </c>
      <c r="AZ35" s="49">
        <f t="shared" si="14"/>
        <v>281.00721281119877</v>
      </c>
    </row>
    <row r="36" spans="1:52" ht="16.5" thickBot="1" x14ac:dyDescent="0.3">
      <c r="A36" s="53"/>
      <c r="B36" s="53"/>
      <c r="G36" s="9"/>
      <c r="H36" s="108"/>
      <c r="I36" s="93"/>
      <c r="J36" s="54" t="s">
        <v>10</v>
      </c>
      <c r="K36" s="44">
        <f>PMT(bnc_15000/12, 180, -1000)</f>
        <v>11.675541438782689</v>
      </c>
      <c r="L36" s="44">
        <f>PMT(bnc_15000/26, 180/12*26, -1000)</f>
        <v>5.3835241375290899</v>
      </c>
      <c r="M36" s="45">
        <f>PMT(bnc_15000/52, 180/12*52, -1000)</f>
        <v>2.6906501065376029</v>
      </c>
      <c r="N36" s="33"/>
      <c r="O36" s="87"/>
      <c r="P36" s="55">
        <f t="shared" si="21"/>
        <v>7250</v>
      </c>
      <c r="Q36" s="48">
        <f t="shared" si="17"/>
        <v>217.25645462254593</v>
      </c>
      <c r="R36" s="56">
        <f t="shared" si="22"/>
        <v>14500</v>
      </c>
      <c r="S36" s="48">
        <f t="shared" si="6"/>
        <v>434.51290924509186</v>
      </c>
      <c r="T36" s="33"/>
      <c r="U36" s="87"/>
      <c r="V36" s="55">
        <f t="shared" si="23"/>
        <v>7250</v>
      </c>
      <c r="W36" s="57">
        <f t="shared" si="7"/>
        <v>170.23322289868332</v>
      </c>
      <c r="X36" s="56">
        <f t="shared" si="24"/>
        <v>14500</v>
      </c>
      <c r="Y36" s="48">
        <f t="shared" si="7"/>
        <v>340.46644579736665</v>
      </c>
      <c r="Z36" s="33"/>
      <c r="AA36" s="33"/>
      <c r="AB36" s="87"/>
      <c r="AC36" s="55">
        <f t="shared" si="25"/>
        <v>7250</v>
      </c>
      <c r="AD36" s="58">
        <f t="shared" si="18"/>
        <v>150.46289129124372</v>
      </c>
      <c r="AE36" s="55">
        <f t="shared" si="26"/>
        <v>14500</v>
      </c>
      <c r="AF36" s="58">
        <f t="shared" si="8"/>
        <v>300.92578258248744</v>
      </c>
      <c r="AG36" s="33"/>
      <c r="AI36" s="87"/>
      <c r="AJ36" s="55">
        <f t="shared" si="27"/>
        <v>7250</v>
      </c>
      <c r="AK36" s="59">
        <f t="shared" si="19"/>
        <v>237.32136721964716</v>
      </c>
      <c r="AL36" s="60">
        <f t="shared" si="20"/>
        <v>187.34483269113468</v>
      </c>
      <c r="AM36" s="55">
        <f t="shared" si="28"/>
        <v>14500</v>
      </c>
      <c r="AN36" s="59">
        <f t="shared" si="9"/>
        <v>474.64273443929432</v>
      </c>
      <c r="AO36" s="60">
        <f t="shared" si="10"/>
        <v>374.68966538226937</v>
      </c>
      <c r="AP36" s="87"/>
      <c r="AQ36" s="42">
        <f t="shared" si="29"/>
        <v>7250</v>
      </c>
      <c r="AR36" s="41">
        <f t="shared" si="11"/>
        <v>91.682357492731256</v>
      </c>
      <c r="AS36" s="42"/>
      <c r="AT36" s="41"/>
      <c r="AV36" s="87"/>
      <c r="AW36" s="61">
        <f t="shared" si="31"/>
        <v>17000</v>
      </c>
      <c r="AX36" s="58">
        <f t="shared" si="13"/>
        <v>199.0467757412658</v>
      </c>
      <c r="AY36" s="62" t="s">
        <v>11</v>
      </c>
      <c r="AZ36" s="49">
        <f>PMT(FinanceIt/12, 240, -1000)</f>
        <v>11.708633867133283</v>
      </c>
    </row>
    <row r="37" spans="1:52" x14ac:dyDescent="0.25">
      <c r="A37" s="63"/>
      <c r="B37" s="9"/>
      <c r="C37" s="10"/>
      <c r="D37" s="11"/>
      <c r="E37" s="11"/>
      <c r="F37" s="11"/>
      <c r="G37" s="9"/>
      <c r="H37" s="9"/>
      <c r="I37" s="9"/>
      <c r="J37" s="9"/>
      <c r="K37" s="9"/>
      <c r="L37" s="9"/>
      <c r="M37" s="9"/>
      <c r="O37" s="9"/>
      <c r="P37" s="9"/>
      <c r="Q37" s="11"/>
      <c r="R37" s="11"/>
      <c r="S37" s="11"/>
    </row>
  </sheetData>
  <sheetProtection algorithmName="SHA-512" hashValue="UgpKNOs9GWGqqt5Dqsrvg6+iyMgPzDichmZGLOjIowLvt29oSkiL1dKbdHQSGkRMO/pywKuZGO49d8lNbVMCGQ==" saltValue="wSLA+I/v713aPRRVqpr0Iw==" spinCount="100000" sheet="1" objects="1" scenarios="1"/>
  <mergeCells count="20">
    <mergeCell ref="A8:A28"/>
    <mergeCell ref="B8:B18"/>
    <mergeCell ref="H8:H36"/>
    <mergeCell ref="I8:I26"/>
    <mergeCell ref="O8:O36"/>
    <mergeCell ref="AV8:AV36"/>
    <mergeCell ref="B19:B28"/>
    <mergeCell ref="I27:I36"/>
    <mergeCell ref="AR6:AT6"/>
    <mergeCell ref="AX6:AZ6"/>
    <mergeCell ref="U8:U36"/>
    <mergeCell ref="AB8:AB36"/>
    <mergeCell ref="AI8:AI36"/>
    <mergeCell ref="D6:F6"/>
    <mergeCell ref="K6:M6"/>
    <mergeCell ref="Q6:S6"/>
    <mergeCell ref="W6:Y6"/>
    <mergeCell ref="AD6:AF6"/>
    <mergeCell ref="AK6:AO6"/>
    <mergeCell ref="AP8:AP36"/>
  </mergeCells>
  <pageMargins left="0.11811023622047245" right="0.11811023622047245" top="0.15748031496062992" bottom="0.35433070866141736" header="0.31496062992125984" footer="0.31496062992125984"/>
  <pageSetup scale="90" fitToWidth="2" orientation="landscape" horizontalDpi="300" verticalDpi="300" r:id="rId1"/>
  <headerFooter>
    <oddFooter>&amp;LEffectif le 2025-05-01</oddFooter>
  </headerFooter>
  <colBreaks count="3" manualBreakCount="3">
    <brk id="14" max="36" man="1"/>
    <brk id="26" max="36" man="1"/>
    <brk id="41" max="36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165DD-BB6E-4D2E-A169-B6173C9B24BA}">
  <sheetPr>
    <pageSetUpPr fitToPage="1"/>
  </sheetPr>
  <dimension ref="A1:J164"/>
  <sheetViews>
    <sheetView workbookViewId="0">
      <selection activeCell="B13" sqref="B13"/>
    </sheetView>
  </sheetViews>
  <sheetFormatPr defaultRowHeight="15" x14ac:dyDescent="0.25"/>
  <cols>
    <col min="1" max="1" width="39.85546875" bestFit="1" customWidth="1"/>
    <col min="2" max="2" width="11.140625" customWidth="1"/>
    <col min="3" max="3" width="10.28515625" customWidth="1"/>
    <col min="4" max="4" width="13.42578125" customWidth="1"/>
    <col min="5" max="5" width="10.7109375" customWidth="1"/>
    <col min="6" max="6" width="12.5703125" style="6" customWidth="1"/>
    <col min="7" max="7" width="10.42578125" style="6" bestFit="1" customWidth="1"/>
    <col min="8" max="8" width="13.140625" style="1" hidden="1" customWidth="1"/>
    <col min="9" max="9" width="13.140625" style="6" hidden="1" customWidth="1"/>
    <col min="10" max="10" width="10.42578125" hidden="1" customWidth="1"/>
  </cols>
  <sheetData>
    <row r="1" spans="1:10" ht="21" x14ac:dyDescent="0.35">
      <c r="A1" s="66" t="s">
        <v>12</v>
      </c>
    </row>
    <row r="2" spans="1:10" x14ac:dyDescent="0.25">
      <c r="A2" s="84">
        <f ca="1">NOW()</f>
        <v>45786.479539583335</v>
      </c>
    </row>
    <row r="8" spans="1:10" x14ac:dyDescent="0.25">
      <c r="A8" s="2" t="s">
        <v>13</v>
      </c>
      <c r="B8" s="82">
        <v>5000</v>
      </c>
    </row>
    <row r="9" spans="1:10" x14ac:dyDescent="0.25">
      <c r="A9" t="s">
        <v>14</v>
      </c>
      <c r="B9" s="6">
        <f>ROUND(B8*0.05,2)</f>
        <v>250</v>
      </c>
    </row>
    <row r="10" spans="1:10" x14ac:dyDescent="0.25">
      <c r="A10" t="s">
        <v>15</v>
      </c>
      <c r="B10" s="6">
        <f>ROUND(SUM(B8:B9)*0.095,2)</f>
        <v>498.75</v>
      </c>
    </row>
    <row r="11" spans="1:10" s="2" customFormat="1" ht="15.75" thickBot="1" x14ac:dyDescent="0.3">
      <c r="A11" s="2" t="s">
        <v>16</v>
      </c>
      <c r="B11" s="64">
        <f>SUM(B8:B10)</f>
        <v>5748.75</v>
      </c>
      <c r="F11" s="67"/>
      <c r="G11" s="67"/>
      <c r="H11" s="65"/>
      <c r="I11" s="67"/>
    </row>
    <row r="16" spans="1:10" s="69" customFormat="1" ht="30" x14ac:dyDescent="0.25">
      <c r="A16" s="76" t="s">
        <v>17</v>
      </c>
      <c r="B16" s="77" t="s">
        <v>18</v>
      </c>
      <c r="C16" s="77" t="s">
        <v>19</v>
      </c>
      <c r="D16" s="77" t="s">
        <v>20</v>
      </c>
      <c r="E16" s="78" t="s">
        <v>21</v>
      </c>
      <c r="F16" s="79" t="s">
        <v>22</v>
      </c>
      <c r="G16" s="80" t="s">
        <v>23</v>
      </c>
      <c r="H16" s="70" t="s">
        <v>24</v>
      </c>
      <c r="I16" s="71" t="s">
        <v>25</v>
      </c>
      <c r="J16" s="72" t="s">
        <v>26</v>
      </c>
    </row>
    <row r="17" spans="1:10" x14ac:dyDescent="0.25">
      <c r="B17" s="5"/>
      <c r="C17" s="5"/>
      <c r="D17" s="5"/>
      <c r="E17" s="1"/>
      <c r="F17" s="67"/>
      <c r="H17" s="73"/>
      <c r="I17" s="74"/>
      <c r="J17" s="8"/>
    </row>
    <row r="18" spans="1:10" x14ac:dyDescent="0.25">
      <c r="A18" s="68" t="s">
        <v>27</v>
      </c>
      <c r="B18" s="5"/>
      <c r="C18" s="5"/>
      <c r="D18" s="5"/>
      <c r="E18" s="1"/>
      <c r="F18" s="67"/>
      <c r="H18" s="73"/>
      <c r="I18" s="74"/>
      <c r="J18" s="8"/>
    </row>
    <row r="19" spans="1:10" x14ac:dyDescent="0.25">
      <c r="A19" t="s">
        <v>28</v>
      </c>
      <c r="B19" s="83">
        <v>12120</v>
      </c>
      <c r="C19" s="5">
        <v>12</v>
      </c>
      <c r="D19" s="5" t="s">
        <v>29</v>
      </c>
      <c r="E19" s="1">
        <v>0</v>
      </c>
      <c r="F19" s="67"/>
      <c r="G19" s="6">
        <f>MontantFinancement</f>
        <v>5748.75</v>
      </c>
      <c r="H19" s="73">
        <v>5.2900000000000003E-2</v>
      </c>
      <c r="I19" s="74">
        <f t="shared" ref="I19:I30" si="0">MontantFinancement*H19</f>
        <v>304.10887500000001</v>
      </c>
      <c r="J19" s="75">
        <f>(G19+(F19*C19))-MontantFinancement</f>
        <v>0</v>
      </c>
    </row>
    <row r="20" spans="1:10" x14ac:dyDescent="0.25">
      <c r="A20" t="s">
        <v>30</v>
      </c>
      <c r="B20" s="5">
        <v>12240</v>
      </c>
      <c r="C20" s="5">
        <v>24</v>
      </c>
      <c r="D20" s="5" t="s">
        <v>29</v>
      </c>
      <c r="E20" s="1">
        <v>0</v>
      </c>
      <c r="F20" s="67"/>
      <c r="G20" s="6">
        <f>MontantFinancement</f>
        <v>5748.75</v>
      </c>
      <c r="H20" s="73">
        <v>6.2899999999999998E-2</v>
      </c>
      <c r="I20" s="74">
        <f t="shared" si="0"/>
        <v>361.59637499999997</v>
      </c>
      <c r="J20" s="75">
        <f>(G20+(F20*C20))-MontantFinancement</f>
        <v>0</v>
      </c>
    </row>
    <row r="21" spans="1:10" x14ac:dyDescent="0.25">
      <c r="A21" t="s">
        <v>31</v>
      </c>
      <c r="B21" s="5">
        <v>13030</v>
      </c>
      <c r="C21" s="5">
        <v>3</v>
      </c>
      <c r="D21" s="5" t="s">
        <v>32</v>
      </c>
      <c r="E21" s="1">
        <v>0</v>
      </c>
      <c r="F21" s="81">
        <f>MontantFinancement*0.05</f>
        <v>287.4375</v>
      </c>
      <c r="G21" s="6">
        <f>MontantFinancement-(F21*C21)</f>
        <v>4886.4375</v>
      </c>
      <c r="H21" s="73">
        <v>1.49E-2</v>
      </c>
      <c r="I21" s="74">
        <f t="shared" si="0"/>
        <v>85.656374999999997</v>
      </c>
      <c r="J21" s="75">
        <f>(G21+(F21*C21))-MontantFinancement</f>
        <v>0</v>
      </c>
    </row>
    <row r="22" spans="1:10" x14ac:dyDescent="0.25">
      <c r="A22" t="s">
        <v>33</v>
      </c>
      <c r="B22" s="5">
        <v>13060</v>
      </c>
      <c r="C22" s="5">
        <v>6</v>
      </c>
      <c r="D22" s="5" t="s">
        <v>32</v>
      </c>
      <c r="E22" s="1">
        <v>0</v>
      </c>
      <c r="F22" s="81">
        <f>MontantFinancement*0.05</f>
        <v>287.4375</v>
      </c>
      <c r="G22" s="6">
        <f>MontantFinancement-(F22*C22)</f>
        <v>4024.125</v>
      </c>
      <c r="H22" s="73">
        <v>1.9900000000000001E-2</v>
      </c>
      <c r="I22" s="74">
        <f t="shared" si="0"/>
        <v>114.400125</v>
      </c>
      <c r="J22" s="75">
        <f>(G22+(F22*C22))-MontantFinancement</f>
        <v>0</v>
      </c>
    </row>
    <row r="23" spans="1:10" hidden="1" x14ac:dyDescent="0.25">
      <c r="A23" t="s">
        <v>34</v>
      </c>
      <c r="B23" s="5">
        <v>13120</v>
      </c>
      <c r="C23" s="5">
        <v>12</v>
      </c>
      <c r="D23" s="5" t="s">
        <v>32</v>
      </c>
      <c r="E23" s="1">
        <v>0</v>
      </c>
      <c r="F23" s="81">
        <f>MontantFinancement*0.05</f>
        <v>287.4375</v>
      </c>
      <c r="G23" s="6">
        <f>MontantFinancement-(F23*C23)</f>
        <v>2299.5</v>
      </c>
      <c r="H23" s="73">
        <v>2.9899999999999999E-2</v>
      </c>
      <c r="I23" s="74">
        <f t="shared" si="0"/>
        <v>171.88762499999999</v>
      </c>
      <c r="J23" s="75">
        <f>(G23+(F23*C23))-MontantFinancement</f>
        <v>0</v>
      </c>
    </row>
    <row r="24" spans="1:10" hidden="1" x14ac:dyDescent="0.25">
      <c r="A24" t="s">
        <v>35</v>
      </c>
      <c r="B24" s="5">
        <v>13240</v>
      </c>
      <c r="C24" s="5">
        <v>24</v>
      </c>
      <c r="D24" s="5" t="s">
        <v>32</v>
      </c>
      <c r="E24" s="1">
        <v>0</v>
      </c>
      <c r="F24" s="81">
        <f>MontantFinancement*0.05</f>
        <v>287.4375</v>
      </c>
      <c r="H24" s="73">
        <v>3.9899999999999998E-2</v>
      </c>
      <c r="I24" s="74">
        <f t="shared" si="0"/>
        <v>229.375125</v>
      </c>
      <c r="J24" s="75"/>
    </row>
    <row r="25" spans="1:10" hidden="1" x14ac:dyDescent="0.25">
      <c r="A25" t="s">
        <v>36</v>
      </c>
      <c r="B25" s="5">
        <v>16360</v>
      </c>
      <c r="C25" s="5">
        <v>36</v>
      </c>
      <c r="D25" s="5" t="s">
        <v>32</v>
      </c>
      <c r="E25" s="1">
        <v>0</v>
      </c>
      <c r="F25" s="67">
        <f>MontantFinancement/C25</f>
        <v>159.6875</v>
      </c>
      <c r="G25" s="6">
        <f>MontantFinancement-(F25*C25)</f>
        <v>0</v>
      </c>
      <c r="H25" s="73">
        <v>0.13489999999999999</v>
      </c>
      <c r="I25" s="74">
        <f t="shared" si="0"/>
        <v>775.50637499999993</v>
      </c>
      <c r="J25" s="75">
        <f t="shared" ref="J25:J30" si="1">(G25+(F25*C25))-MontantFinancement</f>
        <v>0</v>
      </c>
    </row>
    <row r="26" spans="1:10" hidden="1" x14ac:dyDescent="0.25">
      <c r="A26" t="s">
        <v>37</v>
      </c>
      <c r="B26" s="5">
        <v>36369</v>
      </c>
      <c r="C26" s="5">
        <v>36</v>
      </c>
      <c r="D26" s="5" t="s">
        <v>32</v>
      </c>
      <c r="E26" s="1">
        <v>4.99E-2</v>
      </c>
      <c r="F26" s="67">
        <f>PMT(E26/12, C26, -MontantFinancement)</f>
        <v>172.26938531191186</v>
      </c>
      <c r="G26" s="6">
        <v>0</v>
      </c>
      <c r="H26" s="73">
        <v>5.9900000000000002E-2</v>
      </c>
      <c r="I26" s="74">
        <f t="shared" si="0"/>
        <v>344.35012499999999</v>
      </c>
      <c r="J26" s="75">
        <f t="shared" si="1"/>
        <v>452.94787122882735</v>
      </c>
    </row>
    <row r="27" spans="1:10" x14ac:dyDescent="0.25">
      <c r="A27" t="s">
        <v>37</v>
      </c>
      <c r="B27" s="5">
        <v>18363</v>
      </c>
      <c r="C27" s="5">
        <v>36</v>
      </c>
      <c r="D27" s="5" t="s">
        <v>32</v>
      </c>
      <c r="E27" s="1">
        <v>0.1099</v>
      </c>
      <c r="F27" s="67">
        <f>PMT(E27/12, C27, -MontantFinancement)</f>
        <v>188.17947721433748</v>
      </c>
      <c r="G27" s="6">
        <v>0</v>
      </c>
      <c r="H27" s="73">
        <v>2.9899999999999999E-2</v>
      </c>
      <c r="I27" s="74">
        <f t="shared" si="0"/>
        <v>171.88762499999999</v>
      </c>
      <c r="J27" s="75">
        <f t="shared" si="1"/>
        <v>1025.7111797161497</v>
      </c>
    </row>
    <row r="28" spans="1:10" hidden="1" x14ac:dyDescent="0.25">
      <c r="A28" t="s">
        <v>38</v>
      </c>
      <c r="B28" s="5">
        <v>36485</v>
      </c>
      <c r="C28" s="5">
        <v>48</v>
      </c>
      <c r="D28" s="5" t="s">
        <v>32</v>
      </c>
      <c r="E28" s="1">
        <v>5.9900000000000002E-2</v>
      </c>
      <c r="F28" s="67">
        <f>PMT(E28/12, C28, -MontantFinancement)</f>
        <v>134.98320553638698</v>
      </c>
      <c r="G28" s="6">
        <v>0</v>
      </c>
      <c r="H28" s="73">
        <v>6.9900000000000004E-2</v>
      </c>
      <c r="I28" s="74">
        <f t="shared" si="0"/>
        <v>401.837625</v>
      </c>
      <c r="J28" s="75">
        <f t="shared" si="1"/>
        <v>730.44386574657437</v>
      </c>
    </row>
    <row r="29" spans="1:10" x14ac:dyDescent="0.25">
      <c r="A29" t="s">
        <v>38</v>
      </c>
      <c r="B29" s="5">
        <v>18483</v>
      </c>
      <c r="C29" s="5">
        <v>48</v>
      </c>
      <c r="D29" s="5" t="s">
        <v>32</v>
      </c>
      <c r="E29" s="1">
        <v>0.1099</v>
      </c>
      <c r="F29" s="67">
        <f>PMT(E29/12, C29, -MontantFinancement)</f>
        <v>148.55153199078077</v>
      </c>
      <c r="G29" s="6">
        <v>0</v>
      </c>
      <c r="H29" s="73">
        <v>3.09E-2</v>
      </c>
      <c r="I29" s="74">
        <f t="shared" si="0"/>
        <v>177.63637500000002</v>
      </c>
      <c r="J29" s="75">
        <f t="shared" si="1"/>
        <v>1381.7235355574776</v>
      </c>
    </row>
    <row r="30" spans="1:10" hidden="1" x14ac:dyDescent="0.25">
      <c r="A30" t="s">
        <v>39</v>
      </c>
      <c r="B30" s="5">
        <v>36602</v>
      </c>
      <c r="C30" s="5">
        <v>60</v>
      </c>
      <c r="D30" s="5" t="s">
        <v>32</v>
      </c>
      <c r="E30" s="1">
        <v>8.9899999999999994E-2</v>
      </c>
      <c r="F30" s="67">
        <f>PMT(E30/12, C30, -MontantFinancement)</f>
        <v>119.30669604283275</v>
      </c>
      <c r="G30" s="6">
        <v>0</v>
      </c>
      <c r="H30" s="73">
        <v>6.4899999999999999E-2</v>
      </c>
      <c r="I30" s="74">
        <f t="shared" si="0"/>
        <v>373.09387499999997</v>
      </c>
      <c r="J30" s="75">
        <f t="shared" si="1"/>
        <v>1409.6517625699653</v>
      </c>
    </row>
    <row r="31" spans="1:10" x14ac:dyDescent="0.25">
      <c r="B31" s="5"/>
      <c r="C31" s="5"/>
      <c r="D31" s="5"/>
      <c r="F31" s="67"/>
      <c r="H31" s="73"/>
      <c r="I31" s="74"/>
      <c r="J31" s="75"/>
    </row>
    <row r="32" spans="1:10" x14ac:dyDescent="0.25">
      <c r="A32" s="68" t="s">
        <v>40</v>
      </c>
      <c r="B32" s="5"/>
      <c r="C32" s="5"/>
      <c r="D32" s="5"/>
      <c r="F32" s="67"/>
      <c r="H32" s="73"/>
      <c r="I32" s="74"/>
      <c r="J32" s="75"/>
    </row>
    <row r="33" spans="1:10" x14ac:dyDescent="0.25">
      <c r="A33" t="s">
        <v>41</v>
      </c>
      <c r="B33" s="5" t="s">
        <v>42</v>
      </c>
      <c r="C33" s="5">
        <f>_xlfn.XLOOKUP(MontantFinancement, Taux!$A$4:$A$8, Taux!$C$4:$C$8,,-1)</f>
        <v>120</v>
      </c>
      <c r="D33" s="5" t="s">
        <v>32</v>
      </c>
      <c r="E33" s="1">
        <f>_xlfn.XLOOKUP(MontantFinancement,Taux!$A$4:$A$8,Taux!$D$4:$D$8,,-1)</f>
        <v>0.1139</v>
      </c>
      <c r="F33" s="67">
        <f>PMT(E33/12, C33, -MontantFinancement)</f>
        <v>80.463446569836762</v>
      </c>
      <c r="H33" s="73"/>
      <c r="I33" s="74"/>
      <c r="J33" s="75">
        <f>(G33+(F33*C33))-MontantFinancement</f>
        <v>3906.8635883804109</v>
      </c>
    </row>
    <row r="34" spans="1:10" x14ac:dyDescent="0.25">
      <c r="A34" t="s">
        <v>43</v>
      </c>
      <c r="B34" s="5" t="s">
        <v>42</v>
      </c>
      <c r="C34" s="5">
        <f>_xlfn.XLOOKUP(MontantFinancement, Taux!$A$4:$A$8, Taux!$C$4:$C$8,,-1)</f>
        <v>120</v>
      </c>
      <c r="D34" s="5" t="s">
        <v>44</v>
      </c>
      <c r="E34" s="1">
        <f>_xlfn.XLOOKUP(MontantFinancement,Taux!$A$4:$A$8,Taux!$D$4:$D$8,,-1)</f>
        <v>0.1139</v>
      </c>
      <c r="F34" s="67">
        <f>PMT(E34/26, C34/12*26, -MontantFinancement)</f>
        <v>37.086284451381836</v>
      </c>
      <c r="H34" s="73"/>
      <c r="I34" s="74"/>
      <c r="J34" s="75"/>
    </row>
    <row r="35" spans="1:10" x14ac:dyDescent="0.25">
      <c r="A35" t="s">
        <v>45</v>
      </c>
      <c r="B35" s="5" t="s">
        <v>42</v>
      </c>
      <c r="C35" s="5">
        <f>_xlfn.XLOOKUP(MontantFinancement, Taux!$A$4:$A$8, Taux!$C$4:$C$8,,-1)</f>
        <v>120</v>
      </c>
      <c r="D35" s="5" t="s">
        <v>46</v>
      </c>
      <c r="E35" s="1">
        <f>_xlfn.XLOOKUP(MontantFinancement,Taux!$A$4:$A$8,Taux!$D$4:$D$8,,-1)</f>
        <v>0.1139</v>
      </c>
      <c r="F35" s="67">
        <f>PMT(E35/52, C35/12*52, -MontantFinancement)</f>
        <v>18.53227090981915</v>
      </c>
      <c r="H35" s="73"/>
      <c r="I35" s="74"/>
      <c r="J35" s="75"/>
    </row>
    <row r="36" spans="1:10" x14ac:dyDescent="0.25">
      <c r="B36" s="5"/>
      <c r="D36" s="5"/>
      <c r="F36" s="67"/>
      <c r="H36" s="73"/>
      <c r="I36" s="74"/>
      <c r="J36" s="8"/>
    </row>
    <row r="37" spans="1:10" x14ac:dyDescent="0.25">
      <c r="A37" s="68" t="s">
        <v>47</v>
      </c>
      <c r="B37" s="5"/>
      <c r="C37" s="5"/>
      <c r="D37" s="5"/>
      <c r="E37" s="1"/>
      <c r="F37" s="67"/>
      <c r="H37" s="73"/>
      <c r="I37" s="74"/>
      <c r="J37" s="8"/>
    </row>
    <row r="38" spans="1:10" x14ac:dyDescent="0.25">
      <c r="A38" t="s">
        <v>48</v>
      </c>
      <c r="B38" s="5" t="s">
        <v>42</v>
      </c>
      <c r="C38" s="5">
        <f>_xlfn.XLOOKUP(MontantFinancement, Taux!$A$4:$A$8, Taux!$E$4:$E$8,,-1)</f>
        <v>180</v>
      </c>
      <c r="D38" s="5" t="s">
        <v>32</v>
      </c>
      <c r="E38" s="1">
        <v>0.12989999999999999</v>
      </c>
      <c r="F38" s="67">
        <f>PMT(E38/12, C38, -MontantFinancement)</f>
        <v>72.697786570529487</v>
      </c>
      <c r="H38" s="73"/>
      <c r="I38" s="74"/>
      <c r="J38" s="75">
        <f>(G38+(F38*C38))-MontantFinancement</f>
        <v>7336.851582695308</v>
      </c>
    </row>
    <row r="39" spans="1:10" x14ac:dyDescent="0.25">
      <c r="B39" s="5"/>
    </row>
    <row r="40" spans="1:10" x14ac:dyDescent="0.25">
      <c r="B40" s="5"/>
    </row>
    <row r="41" spans="1:10" x14ac:dyDescent="0.25">
      <c r="B41" s="5"/>
    </row>
    <row r="42" spans="1:10" x14ac:dyDescent="0.25">
      <c r="B42" s="5"/>
    </row>
    <row r="43" spans="1:10" x14ac:dyDescent="0.25">
      <c r="B43" s="5"/>
    </row>
    <row r="44" spans="1:10" x14ac:dyDescent="0.25">
      <c r="B44" s="5"/>
    </row>
    <row r="45" spans="1:10" x14ac:dyDescent="0.25">
      <c r="B45" s="5"/>
    </row>
    <row r="46" spans="1:10" x14ac:dyDescent="0.25">
      <c r="B46" s="5"/>
    </row>
    <row r="47" spans="1:10" x14ac:dyDescent="0.25">
      <c r="B47" s="5"/>
    </row>
    <row r="48" spans="1:10" x14ac:dyDescent="0.25">
      <c r="B48" s="5"/>
    </row>
    <row r="49" spans="2:2" x14ac:dyDescent="0.25">
      <c r="B49" s="5"/>
    </row>
    <row r="50" spans="2:2" x14ac:dyDescent="0.25">
      <c r="B50" s="5"/>
    </row>
    <row r="51" spans="2:2" x14ac:dyDescent="0.25">
      <c r="B51" s="5"/>
    </row>
    <row r="52" spans="2:2" x14ac:dyDescent="0.25">
      <c r="B52" s="5"/>
    </row>
    <row r="53" spans="2:2" x14ac:dyDescent="0.25">
      <c r="B53" s="5"/>
    </row>
    <row r="54" spans="2:2" x14ac:dyDescent="0.25">
      <c r="B54" s="5"/>
    </row>
    <row r="55" spans="2:2" x14ac:dyDescent="0.25">
      <c r="B55" s="5"/>
    </row>
    <row r="56" spans="2:2" x14ac:dyDescent="0.25">
      <c r="B56" s="5"/>
    </row>
    <row r="57" spans="2:2" x14ac:dyDescent="0.25">
      <c r="B57" s="5"/>
    </row>
    <row r="58" spans="2:2" x14ac:dyDescent="0.25">
      <c r="B58" s="5"/>
    </row>
    <row r="59" spans="2:2" x14ac:dyDescent="0.25">
      <c r="B59" s="5"/>
    </row>
    <row r="60" spans="2:2" x14ac:dyDescent="0.25">
      <c r="B60" s="5"/>
    </row>
    <row r="61" spans="2:2" x14ac:dyDescent="0.25">
      <c r="B61" s="5"/>
    </row>
    <row r="62" spans="2:2" x14ac:dyDescent="0.25">
      <c r="B62" s="5"/>
    </row>
    <row r="63" spans="2:2" x14ac:dyDescent="0.25">
      <c r="B63" s="5"/>
    </row>
    <row r="64" spans="2:2" x14ac:dyDescent="0.25">
      <c r="B64" s="5"/>
    </row>
    <row r="65" spans="2:2" x14ac:dyDescent="0.25">
      <c r="B65" s="5"/>
    </row>
    <row r="66" spans="2:2" x14ac:dyDescent="0.25">
      <c r="B66" s="5"/>
    </row>
    <row r="67" spans="2:2" x14ac:dyDescent="0.25">
      <c r="B67" s="5"/>
    </row>
    <row r="68" spans="2:2" x14ac:dyDescent="0.25">
      <c r="B68" s="5"/>
    </row>
    <row r="69" spans="2:2" x14ac:dyDescent="0.25">
      <c r="B69" s="5"/>
    </row>
    <row r="70" spans="2:2" x14ac:dyDescent="0.25">
      <c r="B70" s="5"/>
    </row>
    <row r="71" spans="2:2" x14ac:dyDescent="0.25">
      <c r="B71" s="5"/>
    </row>
    <row r="72" spans="2:2" x14ac:dyDescent="0.25">
      <c r="B72" s="5"/>
    </row>
    <row r="73" spans="2:2" x14ac:dyDescent="0.25">
      <c r="B73" s="5"/>
    </row>
    <row r="74" spans="2:2" x14ac:dyDescent="0.25">
      <c r="B74" s="5"/>
    </row>
    <row r="75" spans="2:2" x14ac:dyDescent="0.25">
      <c r="B75" s="5"/>
    </row>
    <row r="76" spans="2:2" x14ac:dyDescent="0.25">
      <c r="B76" s="5"/>
    </row>
    <row r="77" spans="2:2" x14ac:dyDescent="0.25">
      <c r="B77" s="5"/>
    </row>
    <row r="78" spans="2:2" x14ac:dyDescent="0.25">
      <c r="B78" s="5"/>
    </row>
    <row r="79" spans="2:2" x14ac:dyDescent="0.25">
      <c r="B79" s="5"/>
    </row>
    <row r="80" spans="2:2" x14ac:dyDescent="0.25">
      <c r="B80" s="5"/>
    </row>
    <row r="81" spans="2:2" x14ac:dyDescent="0.25">
      <c r="B81" s="5"/>
    </row>
    <row r="82" spans="2:2" x14ac:dyDescent="0.25">
      <c r="B82" s="5"/>
    </row>
    <row r="83" spans="2:2" x14ac:dyDescent="0.25">
      <c r="B83" s="5"/>
    </row>
    <row r="84" spans="2:2" x14ac:dyDescent="0.25">
      <c r="B84" s="5"/>
    </row>
    <row r="85" spans="2:2" x14ac:dyDescent="0.25">
      <c r="B85" s="5"/>
    </row>
    <row r="86" spans="2:2" x14ac:dyDescent="0.25">
      <c r="B86" s="5"/>
    </row>
    <row r="87" spans="2:2" x14ac:dyDescent="0.25">
      <c r="B87" s="5"/>
    </row>
    <row r="88" spans="2:2" x14ac:dyDescent="0.25">
      <c r="B88" s="5"/>
    </row>
    <row r="89" spans="2:2" x14ac:dyDescent="0.25">
      <c r="B89" s="5"/>
    </row>
    <row r="90" spans="2:2" x14ac:dyDescent="0.25">
      <c r="B90" s="5"/>
    </row>
    <row r="91" spans="2:2" x14ac:dyDescent="0.25">
      <c r="B91" s="5"/>
    </row>
    <row r="92" spans="2:2" x14ac:dyDescent="0.25">
      <c r="B92" s="5"/>
    </row>
    <row r="93" spans="2:2" x14ac:dyDescent="0.25">
      <c r="B93" s="5"/>
    </row>
    <row r="94" spans="2:2" x14ac:dyDescent="0.25">
      <c r="B94" s="5"/>
    </row>
    <row r="95" spans="2:2" x14ac:dyDescent="0.25">
      <c r="B95" s="5"/>
    </row>
    <row r="96" spans="2:2" x14ac:dyDescent="0.25">
      <c r="B96" s="5"/>
    </row>
    <row r="97" spans="2:2" x14ac:dyDescent="0.25">
      <c r="B97" s="5"/>
    </row>
    <row r="98" spans="2:2" x14ac:dyDescent="0.25">
      <c r="B98" s="5"/>
    </row>
    <row r="99" spans="2:2" x14ac:dyDescent="0.25">
      <c r="B99" s="5"/>
    </row>
    <row r="100" spans="2:2" x14ac:dyDescent="0.25">
      <c r="B100" s="5"/>
    </row>
    <row r="101" spans="2:2" x14ac:dyDescent="0.25">
      <c r="B101" s="5"/>
    </row>
    <row r="102" spans="2:2" x14ac:dyDescent="0.25">
      <c r="B102" s="5"/>
    </row>
    <row r="103" spans="2:2" x14ac:dyDescent="0.25">
      <c r="B103" s="5"/>
    </row>
    <row r="104" spans="2:2" x14ac:dyDescent="0.25">
      <c r="B104" s="5"/>
    </row>
    <row r="105" spans="2:2" x14ac:dyDescent="0.25">
      <c r="B105" s="5"/>
    </row>
    <row r="106" spans="2:2" x14ac:dyDescent="0.25">
      <c r="B106" s="5"/>
    </row>
    <row r="107" spans="2:2" x14ac:dyDescent="0.25">
      <c r="B107" s="5"/>
    </row>
    <row r="108" spans="2:2" x14ac:dyDescent="0.25">
      <c r="B108" s="5"/>
    </row>
    <row r="109" spans="2:2" x14ac:dyDescent="0.25">
      <c r="B109" s="5"/>
    </row>
    <row r="110" spans="2:2" x14ac:dyDescent="0.25">
      <c r="B110" s="5"/>
    </row>
    <row r="111" spans="2:2" x14ac:dyDescent="0.25">
      <c r="B111" s="5"/>
    </row>
    <row r="112" spans="2:2" x14ac:dyDescent="0.25">
      <c r="B112" s="5"/>
    </row>
    <row r="113" spans="2:2" x14ac:dyDescent="0.25">
      <c r="B113" s="5"/>
    </row>
    <row r="114" spans="2:2" x14ac:dyDescent="0.25">
      <c r="B114" s="5"/>
    </row>
    <row r="115" spans="2:2" x14ac:dyDescent="0.25">
      <c r="B115" s="5"/>
    </row>
    <row r="116" spans="2:2" x14ac:dyDescent="0.25">
      <c r="B116" s="5"/>
    </row>
    <row r="117" spans="2:2" x14ac:dyDescent="0.25">
      <c r="B117" s="5"/>
    </row>
    <row r="118" spans="2:2" x14ac:dyDescent="0.25">
      <c r="B118" s="5"/>
    </row>
    <row r="119" spans="2:2" x14ac:dyDescent="0.25">
      <c r="B119" s="5"/>
    </row>
    <row r="120" spans="2:2" x14ac:dyDescent="0.25">
      <c r="B120" s="5"/>
    </row>
    <row r="121" spans="2:2" x14ac:dyDescent="0.25">
      <c r="B121" s="5"/>
    </row>
    <row r="122" spans="2:2" x14ac:dyDescent="0.25">
      <c r="B122" s="5"/>
    </row>
    <row r="123" spans="2:2" x14ac:dyDescent="0.25">
      <c r="B123" s="5"/>
    </row>
    <row r="124" spans="2:2" x14ac:dyDescent="0.25">
      <c r="B124" s="5"/>
    </row>
    <row r="125" spans="2:2" x14ac:dyDescent="0.25">
      <c r="B125" s="5"/>
    </row>
    <row r="126" spans="2:2" x14ac:dyDescent="0.25">
      <c r="B126" s="5"/>
    </row>
    <row r="127" spans="2:2" x14ac:dyDescent="0.25">
      <c r="B127" s="5"/>
    </row>
    <row r="128" spans="2:2" x14ac:dyDescent="0.25">
      <c r="B128" s="5"/>
    </row>
    <row r="129" spans="2:2" x14ac:dyDescent="0.25">
      <c r="B129" s="5"/>
    </row>
    <row r="130" spans="2:2" x14ac:dyDescent="0.25">
      <c r="B130" s="5"/>
    </row>
    <row r="131" spans="2:2" x14ac:dyDescent="0.25">
      <c r="B131" s="5"/>
    </row>
    <row r="132" spans="2:2" x14ac:dyDescent="0.25">
      <c r="B132" s="5"/>
    </row>
    <row r="133" spans="2:2" x14ac:dyDescent="0.25">
      <c r="B133" s="5"/>
    </row>
    <row r="134" spans="2:2" x14ac:dyDescent="0.25">
      <c r="B134" s="5"/>
    </row>
    <row r="135" spans="2:2" x14ac:dyDescent="0.25">
      <c r="B135" s="5"/>
    </row>
    <row r="136" spans="2:2" x14ac:dyDescent="0.25">
      <c r="B136" s="5"/>
    </row>
    <row r="137" spans="2:2" x14ac:dyDescent="0.25">
      <c r="B137" s="5"/>
    </row>
    <row r="138" spans="2:2" x14ac:dyDescent="0.25">
      <c r="B138" s="5"/>
    </row>
    <row r="139" spans="2:2" x14ac:dyDescent="0.25">
      <c r="B139" s="5"/>
    </row>
    <row r="140" spans="2:2" x14ac:dyDescent="0.25">
      <c r="B140" s="5"/>
    </row>
    <row r="141" spans="2:2" x14ac:dyDescent="0.25">
      <c r="B141" s="5"/>
    </row>
    <row r="142" spans="2:2" x14ac:dyDescent="0.25">
      <c r="B142" s="5"/>
    </row>
    <row r="143" spans="2:2" x14ac:dyDescent="0.25">
      <c r="B143" s="5"/>
    </row>
    <row r="144" spans="2:2" x14ac:dyDescent="0.25">
      <c r="B144" s="5"/>
    </row>
    <row r="145" spans="2:2" x14ac:dyDescent="0.25">
      <c r="B145" s="5"/>
    </row>
    <row r="146" spans="2:2" x14ac:dyDescent="0.25">
      <c r="B146" s="5"/>
    </row>
    <row r="147" spans="2:2" x14ac:dyDescent="0.25">
      <c r="B147" s="5"/>
    </row>
    <row r="148" spans="2:2" x14ac:dyDescent="0.25">
      <c r="B148" s="5"/>
    </row>
    <row r="149" spans="2:2" x14ac:dyDescent="0.25">
      <c r="B149" s="5"/>
    </row>
    <row r="150" spans="2:2" x14ac:dyDescent="0.25">
      <c r="B150" s="5"/>
    </row>
    <row r="151" spans="2:2" x14ac:dyDescent="0.25">
      <c r="B151" s="5"/>
    </row>
    <row r="152" spans="2:2" x14ac:dyDescent="0.25">
      <c r="B152" s="5"/>
    </row>
    <row r="153" spans="2:2" x14ac:dyDescent="0.25">
      <c r="B153" s="5"/>
    </row>
    <row r="154" spans="2:2" x14ac:dyDescent="0.25">
      <c r="B154" s="5"/>
    </row>
    <row r="155" spans="2:2" x14ac:dyDescent="0.25">
      <c r="B155" s="5"/>
    </row>
    <row r="156" spans="2:2" x14ac:dyDescent="0.25">
      <c r="B156" s="5"/>
    </row>
    <row r="157" spans="2:2" x14ac:dyDescent="0.25">
      <c r="B157" s="5"/>
    </row>
    <row r="158" spans="2:2" x14ac:dyDescent="0.25">
      <c r="B158" s="5"/>
    </row>
    <row r="159" spans="2:2" x14ac:dyDescent="0.25">
      <c r="B159" s="5"/>
    </row>
    <row r="160" spans="2:2" x14ac:dyDescent="0.25">
      <c r="B160" s="5"/>
    </row>
    <row r="161" spans="2:2" x14ac:dyDescent="0.25">
      <c r="B161" s="5"/>
    </row>
    <row r="162" spans="2:2" x14ac:dyDescent="0.25">
      <c r="B162" s="5"/>
    </row>
    <row r="163" spans="2:2" x14ac:dyDescent="0.25">
      <c r="B163" s="5"/>
    </row>
    <row r="164" spans="2:2" x14ac:dyDescent="0.25">
      <c r="B164" s="5"/>
    </row>
  </sheetData>
  <sheetProtection algorithmName="SHA-512" hashValue="W/1W+HAekmOgXwCZixP349l05E6cCUP0YLjVATeehxX9GbvTAJ+4HLIR1e06cUltW+wri50jIXpSq7pl5OyDiw==" saltValue="Megzu+KcrjH1+zQGI4/Izw==" spinCount="100000" sheet="1" objects="1" scenarios="1"/>
  <pageMargins left="0.70866141732283472" right="0.70866141732283472" top="0.74803149606299213" bottom="0.74803149606299213" header="0.31496062992125984" footer="0.31496062992125984"/>
  <pageSetup scale="83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A5BD-7EFE-41AC-B240-9F82E2532720}">
  <dimension ref="A2:F17"/>
  <sheetViews>
    <sheetView workbookViewId="0">
      <selection activeCell="D7" sqref="D7"/>
    </sheetView>
  </sheetViews>
  <sheetFormatPr defaultRowHeight="15" x14ac:dyDescent="0.25"/>
  <cols>
    <col min="4" max="4" width="9.140625" style="1"/>
  </cols>
  <sheetData>
    <row r="2" spans="1:6" x14ac:dyDescent="0.25">
      <c r="C2" s="112" t="s">
        <v>40</v>
      </c>
      <c r="D2" s="112"/>
      <c r="E2" s="112" t="s">
        <v>49</v>
      </c>
      <c r="F2" s="112"/>
    </row>
    <row r="3" spans="1:6" s="3" customFormat="1" x14ac:dyDescent="0.25">
      <c r="A3" s="3" t="s">
        <v>50</v>
      </c>
      <c r="B3" s="3" t="s">
        <v>51</v>
      </c>
      <c r="C3" s="3" t="s">
        <v>19</v>
      </c>
      <c r="D3" s="4" t="s">
        <v>52</v>
      </c>
      <c r="E3" s="3" t="s">
        <v>19</v>
      </c>
      <c r="F3" s="3" t="s">
        <v>52</v>
      </c>
    </row>
    <row r="4" spans="1:6" x14ac:dyDescent="0.25">
      <c r="A4">
        <v>0</v>
      </c>
      <c r="B4">
        <v>5000</v>
      </c>
      <c r="C4">
        <v>0</v>
      </c>
      <c r="D4" s="1">
        <v>0</v>
      </c>
      <c r="E4" s="7">
        <v>180</v>
      </c>
      <c r="F4" s="1">
        <v>0.12989999999999999</v>
      </c>
    </row>
    <row r="5" spans="1:6" x14ac:dyDescent="0.25">
      <c r="A5">
        <v>5000</v>
      </c>
      <c r="B5">
        <v>7499</v>
      </c>
      <c r="C5">
        <v>120</v>
      </c>
      <c r="D5" s="1">
        <v>0.1139</v>
      </c>
      <c r="E5" s="7">
        <v>180</v>
      </c>
      <c r="F5" s="1">
        <v>0.12989999999999999</v>
      </c>
    </row>
    <row r="6" spans="1:6" x14ac:dyDescent="0.25">
      <c r="A6">
        <v>7500</v>
      </c>
      <c r="B6">
        <v>9999</v>
      </c>
      <c r="C6">
        <v>120</v>
      </c>
      <c r="D6" s="1">
        <v>0.1089</v>
      </c>
      <c r="E6" s="7">
        <v>180</v>
      </c>
      <c r="F6" s="1">
        <v>0.12989999999999999</v>
      </c>
    </row>
    <row r="7" spans="1:6" x14ac:dyDescent="0.25">
      <c r="A7">
        <v>10000</v>
      </c>
      <c r="B7">
        <v>14999</v>
      </c>
      <c r="C7">
        <v>120</v>
      </c>
      <c r="D7" s="1">
        <v>0.1089</v>
      </c>
      <c r="E7" s="7">
        <v>240</v>
      </c>
      <c r="F7" s="1">
        <v>0.12989999999999999</v>
      </c>
    </row>
    <row r="8" spans="1:6" x14ac:dyDescent="0.25">
      <c r="A8">
        <v>15000</v>
      </c>
      <c r="C8">
        <v>180</v>
      </c>
      <c r="D8" s="1">
        <v>0.1149</v>
      </c>
      <c r="E8" s="7">
        <v>240</v>
      </c>
      <c r="F8" s="1">
        <v>0.12989999999999999</v>
      </c>
    </row>
    <row r="17" s="3" customFormat="1" x14ac:dyDescent="0.25"/>
  </sheetData>
  <mergeCells count="2">
    <mergeCell ref="E2:F2"/>
    <mergeCell ref="C2:D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642783BF5F549AD8264003DAC5479" ma:contentTypeVersion="3" ma:contentTypeDescription="Crée un document." ma:contentTypeScope="" ma:versionID="dce298f75874831ad4b69d3856d448b0">
  <xsd:schema xmlns:xsd="http://www.w3.org/2001/XMLSchema" xmlns:xs="http://www.w3.org/2001/XMLSchema" xmlns:p="http://schemas.microsoft.com/office/2006/metadata/properties" xmlns:ns2="be3f775b-911d-49d5-9e9c-70e93af7b92b" targetNamespace="http://schemas.microsoft.com/office/2006/metadata/properties" ma:root="true" ma:fieldsID="b29a77cbcb573c1061bfa2edeefbf14c" ns2:_="">
    <xsd:import namespace="be3f775b-911d-49d5-9e9c-70e93af7b9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f775b-911d-49d5-9e9c-70e93af7b9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20C05A-0888-4C2B-BD19-FC6A69E3DD84}">
  <ds:schemaRefs>
    <ds:schemaRef ds:uri="http://schemas.microsoft.com/office/2006/metadata/properties"/>
    <ds:schemaRef ds:uri="http://schemas.microsoft.com/office/infopath/2007/PartnerControls"/>
    <ds:schemaRef ds:uri="f130a669-a29f-46b0-aa9c-9bf88ad72798"/>
    <ds:schemaRef ds:uri="4fabc31f-0066-4d5c-86a6-a2b35f0f7067"/>
  </ds:schemaRefs>
</ds:datastoreItem>
</file>

<file path=customXml/itemProps2.xml><?xml version="1.0" encoding="utf-8"?>
<ds:datastoreItem xmlns:ds="http://schemas.openxmlformats.org/officeDocument/2006/customXml" ds:itemID="{3C2071B4-9029-4D53-9309-E028C6959A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71E340-FD0F-4B54-A222-53292FAB5B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2025-05-01</vt:lpstr>
      <vt:lpstr>Calculatrice</vt:lpstr>
      <vt:lpstr>Taux</vt:lpstr>
      <vt:lpstr>bnc_10000</vt:lpstr>
      <vt:lpstr>bnc_15000</vt:lpstr>
      <vt:lpstr>bnc_5000</vt:lpstr>
      <vt:lpstr>bnc_7500</vt:lpstr>
      <vt:lpstr>FinanceIt</vt:lpstr>
      <vt:lpstr>MontantFinancement</vt:lpstr>
      <vt:lpstr>'2025-05-01'!Print_Area</vt:lpstr>
      <vt:lpstr>Calculatrice!Print_Area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Corbeil</dc:creator>
  <cp:keywords/>
  <dc:description/>
  <cp:lastModifiedBy>Patrick Corbeil</cp:lastModifiedBy>
  <cp:revision/>
  <cp:lastPrinted>2025-05-05T19:50:58Z</cp:lastPrinted>
  <dcterms:created xsi:type="dcterms:W3CDTF">2025-05-01T19:06:47Z</dcterms:created>
  <dcterms:modified xsi:type="dcterms:W3CDTF">2025-05-09T15:31:10Z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0x010100DF7642783BF5F549AD8264003DAC5479</vt:lpwstr>
  </property>
  <property fmtid="{D5CDD505-2E9C-101B-9397-08002B2CF9AE}" pid="3" name="MediaServiceImageTags">
    <vt:lpwstr/>
  </property>
</Properties>
</file>