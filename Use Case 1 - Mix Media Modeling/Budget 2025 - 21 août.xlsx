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tuta/Desktop/Model/Use Case 1 - Mix Media Modeling/"/>
    </mc:Choice>
  </mc:AlternateContent>
  <xr:revisionPtr revIDLastSave="0" documentId="13_ncr:1_{B085848C-D240-444C-8BDF-3055C53D1099}" xr6:coauthVersionLast="47" xr6:coauthVersionMax="47" xr10:uidLastSave="{00000000-0000-0000-0000-000000000000}"/>
  <bookViews>
    <workbookView xWindow="0" yWindow="620" windowWidth="44800" windowHeight="22600" xr2:uid="{00000000-000D-0000-FFFF-FFFF00000000}"/>
  </bookViews>
  <sheets>
    <sheet name="BUDGET 2025 - 11 déc 2024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7" i="4" l="1"/>
  <c r="AK27" i="4"/>
  <c r="AY27" i="4"/>
  <c r="AY26" i="4"/>
  <c r="AY11" i="4" l="1"/>
  <c r="BH11" i="4"/>
  <c r="BC32" i="4"/>
  <c r="BC15" i="4"/>
  <c r="AY32" i="4"/>
  <c r="AT32" i="4"/>
  <c r="AT46" i="4"/>
  <c r="AT15" i="4"/>
  <c r="AO15" i="4"/>
  <c r="AK15" i="4"/>
  <c r="BQ73" i="4" l="1"/>
  <c r="BQ72" i="4"/>
  <c r="BQ74" i="4"/>
  <c r="BQ78" i="4"/>
  <c r="BQ71" i="4" l="1"/>
  <c r="BQ70" i="4"/>
  <c r="BQ69" i="4"/>
  <c r="BQ76" i="4" s="1"/>
  <c r="AF23" i="4" l="1"/>
  <c r="AO32" i="4" l="1"/>
  <c r="AO46" i="4"/>
  <c r="AY12" i="4"/>
  <c r="AY15" i="4" s="1"/>
  <c r="AF38" i="4"/>
  <c r="AB38" i="4"/>
  <c r="AO40" i="4" l="1"/>
  <c r="AK26" i="4"/>
  <c r="AO42" i="4" l="1"/>
  <c r="AK62" i="4"/>
  <c r="AK23" i="4"/>
  <c r="AK32" i="4" s="1"/>
  <c r="AF26" i="4"/>
  <c r="AF27" i="4" s="1"/>
  <c r="AF15" i="4"/>
  <c r="AB62" i="4"/>
  <c r="AB26" i="4"/>
  <c r="F52" i="4"/>
  <c r="F62" i="4" s="1"/>
  <c r="F12" i="4"/>
  <c r="AB24" i="4"/>
  <c r="F28" i="4"/>
  <c r="F32" i="4" s="1"/>
  <c r="AB23" i="4"/>
  <c r="X23" i="4"/>
  <c r="X26" i="4"/>
  <c r="S12" i="4"/>
  <c r="BH61" i="4"/>
  <c r="BK61" i="4" s="1"/>
  <c r="BH60" i="4"/>
  <c r="BK60" i="4" s="1"/>
  <c r="BH59" i="4"/>
  <c r="BK59" i="4" s="1"/>
  <c r="BH58" i="4"/>
  <c r="BK58" i="4" s="1"/>
  <c r="BH57" i="4"/>
  <c r="BK57" i="4" s="1"/>
  <c r="BH56" i="4"/>
  <c r="BH55" i="4"/>
  <c r="BH54" i="4"/>
  <c r="BH53" i="4"/>
  <c r="BH46" i="4"/>
  <c r="BH41" i="4"/>
  <c r="X38" i="4"/>
  <c r="S38" i="4"/>
  <c r="N38" i="4"/>
  <c r="J38" i="4"/>
  <c r="F38" i="4"/>
  <c r="BH37" i="4"/>
  <c r="BH36" i="4"/>
  <c r="BC40" i="4"/>
  <c r="AY40" i="4"/>
  <c r="AY52" i="4" s="1"/>
  <c r="AT40" i="4"/>
  <c r="S32" i="4"/>
  <c r="N32" i="4"/>
  <c r="J32" i="4"/>
  <c r="BH31" i="4"/>
  <c r="BH30" i="4"/>
  <c r="BH29" i="4"/>
  <c r="BH25" i="4"/>
  <c r="BH22" i="4"/>
  <c r="BH21" i="4"/>
  <c r="BH19" i="4"/>
  <c r="AB15" i="4"/>
  <c r="X15" i="4"/>
  <c r="N15" i="4"/>
  <c r="J15" i="4"/>
  <c r="BH14" i="4"/>
  <c r="BH13" i="4"/>
  <c r="BK19" i="4" l="1"/>
  <c r="BK55" i="4"/>
  <c r="BK30" i="4"/>
  <c r="BC52" i="4"/>
  <c r="BC62" i="4" s="1"/>
  <c r="BC65" i="4" s="1"/>
  <c r="AK40" i="4"/>
  <c r="AK42" i="4" s="1"/>
  <c r="BH23" i="4"/>
  <c r="BH12" i="4"/>
  <c r="S15" i="4"/>
  <c r="S40" i="4" s="1"/>
  <c r="S42" i="4" s="1"/>
  <c r="BH28" i="4"/>
  <c r="X32" i="4"/>
  <c r="X40" i="4" s="1"/>
  <c r="X62" i="4" s="1"/>
  <c r="X65" i="4" s="1"/>
  <c r="N40" i="4"/>
  <c r="BH27" i="4"/>
  <c r="AF32" i="4"/>
  <c r="AF40" i="4" s="1"/>
  <c r="BH26" i="4"/>
  <c r="BH38" i="4"/>
  <c r="BH39" i="4" s="1"/>
  <c r="AB32" i="4"/>
  <c r="AB40" i="4" s="1"/>
  <c r="J40" i="4"/>
  <c r="J52" i="4" s="1"/>
  <c r="J62" i="4" s="1"/>
  <c r="J65" i="4" s="1"/>
  <c r="BH24" i="4"/>
  <c r="BI14" i="4"/>
  <c r="S62" i="4"/>
  <c r="AF62" i="4"/>
  <c r="AO62" i="4"/>
  <c r="AO65" i="4" s="1"/>
  <c r="AT62" i="4"/>
  <c r="AT65" i="4" s="1"/>
  <c r="AT42" i="4"/>
  <c r="AY62" i="4"/>
  <c r="AY65" i="4" s="1"/>
  <c r="AY42" i="4"/>
  <c r="BC42" i="4"/>
  <c r="F15" i="4"/>
  <c r="BK56" i="4"/>
  <c r="BK54" i="4"/>
  <c r="BK53" i="4"/>
  <c r="BK25" i="4"/>
  <c r="BK22" i="4"/>
  <c r="BK21" i="4"/>
  <c r="BK13" i="4"/>
  <c r="BK11" i="4"/>
  <c r="BH15" i="4" l="1"/>
  <c r="BK28" i="4"/>
  <c r="BK12" i="4"/>
  <c r="BH40" i="4"/>
  <c r="BH32" i="4"/>
  <c r="BH33" i="4" s="1"/>
  <c r="AK65" i="4"/>
  <c r="BK23" i="4"/>
  <c r="S65" i="4"/>
  <c r="BK26" i="4"/>
  <c r="F40" i="4"/>
  <c r="AB42" i="4"/>
  <c r="AB65" i="4"/>
  <c r="J42" i="4"/>
  <c r="BK24" i="4"/>
  <c r="AF65" i="4"/>
  <c r="AF42" i="4"/>
  <c r="X42" i="4"/>
  <c r="BH16" i="4"/>
  <c r="N42" i="4"/>
  <c r="N62" i="4"/>
  <c r="N65" i="4" s="1"/>
  <c r="BL11" i="4"/>
  <c r="F42" i="4" l="1"/>
  <c r="BH42" i="4" s="1"/>
  <c r="BL12" i="4"/>
  <c r="BI15" i="4"/>
  <c r="AO43" i="4"/>
  <c r="BK15" i="4"/>
  <c r="BL15" i="4" s="1"/>
  <c r="S44" i="4"/>
  <c r="BL14" i="4"/>
  <c r="F44" i="4"/>
  <c r="AT44" i="4"/>
  <c r="N44" i="4"/>
  <c r="BC44" i="4"/>
  <c r="J44" i="4"/>
  <c r="AY44" i="4"/>
  <c r="X44" i="4"/>
  <c r="AO44" i="4"/>
  <c r="AB44" i="4"/>
  <c r="AK44" i="4"/>
  <c r="AF44" i="4"/>
  <c r="BL13" i="4"/>
  <c r="BH62" i="4"/>
  <c r="BD70" i="4" s="1"/>
  <c r="BI30" i="4"/>
  <c r="BH44" i="4"/>
  <c r="BD71" i="4" s="1"/>
  <c r="BI37" i="4"/>
  <c r="BI25" i="4"/>
  <c r="BI36" i="4"/>
  <c r="BI27" i="4"/>
  <c r="BI19" i="4"/>
  <c r="BI12" i="4"/>
  <c r="BI29" i="4"/>
  <c r="BI11" i="4"/>
  <c r="BI26" i="4"/>
  <c r="BI32" i="4"/>
  <c r="BI38" i="4"/>
  <c r="BI24" i="4"/>
  <c r="BI23" i="4"/>
  <c r="BI13" i="4"/>
  <c r="BI22" i="4"/>
  <c r="BI21" i="4"/>
  <c r="BI28" i="4"/>
  <c r="BI31" i="4"/>
  <c r="BH52" i="4"/>
  <c r="F65" i="4" l="1"/>
  <c r="BH65" i="4" s="1"/>
  <c r="BH66" i="4" s="1"/>
  <c r="BI33" i="4"/>
  <c r="BI39" i="4"/>
  <c r="BI16" i="4"/>
  <c r="BH20" i="4" l="1"/>
  <c r="BH68" i="4"/>
  <c r="AT43" i="4"/>
  <c r="AK43" i="4"/>
  <c r="AY43" i="4"/>
  <c r="AF43" i="4"/>
  <c r="BC43" i="4"/>
  <c r="AB43" i="4"/>
  <c r="N43" i="4"/>
  <c r="J43" i="4"/>
  <c r="S43" i="4"/>
  <c r="X43" i="4"/>
  <c r="F43" i="4"/>
  <c r="BI44" i="4"/>
  <c r="BK52" i="4"/>
  <c r="BK62" i="4" s="1"/>
  <c r="BQ77" i="4" l="1"/>
  <c r="BQ79" i="4" s="1"/>
  <c r="BH70" i="4"/>
  <c r="BH71" i="4"/>
  <c r="BK20" i="4"/>
  <c r="BK32" i="4" s="1"/>
  <c r="BK40" i="4" s="1"/>
  <c r="BI20" i="4"/>
  <c r="BL27" i="4" l="1"/>
  <c r="BL19" i="4"/>
  <c r="BL24" i="4"/>
  <c r="BL30" i="4"/>
  <c r="BL23" i="4"/>
  <c r="BL28" i="4"/>
  <c r="BL26" i="4"/>
  <c r="BL31" i="4"/>
  <c r="BK65" i="4"/>
  <c r="BL32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Microsoft Office User</author>
  </authors>
  <commentList>
    <comment ref="F12" authorId="0" shapeId="0" xr:uid="{CA43A5AB-19BE-DA43-A183-E887053E1809}">
      <text>
        <r>
          <rPr>
            <sz val="10"/>
            <color rgb="FF000000"/>
            <rFont val="Arial"/>
            <family val="2"/>
          </rPr>
          <t>Factures de 2024 qui ont été reçues plus tard</t>
        </r>
      </text>
    </comment>
    <comment ref="AF13" authorId="0" shapeId="0" xr:uid="{6B13FAD2-05F4-5D47-9737-53CB2781CE62}">
      <text>
        <r>
          <rPr>
            <sz val="10"/>
            <color rgb="FF000000"/>
            <rFont val="Arial"/>
            <family val="2"/>
          </rPr>
          <t xml:space="preserve">Campagne petits espaces
</t>
        </r>
      </text>
    </comment>
    <comment ref="AB14" authorId="0" shapeId="0" xr:uid="{4FFDB3D8-3361-3047-A60F-1D6359687C63}">
      <text>
        <r>
          <rPr>
            <sz val="10"/>
            <color rgb="FF000000"/>
            <rFont val="Arial"/>
            <family val="2"/>
          </rPr>
          <t xml:space="preserve">Campagne d'envoies postaux ultra ciblés dans les quartiers high end.
</t>
        </r>
        <r>
          <rPr>
            <sz val="10"/>
            <color rgb="FF000000"/>
            <rFont val="Arial"/>
            <family val="2"/>
          </rPr>
          <t xml:space="preserve">Creusée + spas + meubles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Voir ce qui est réaliste avec ce budget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 </t>
        </r>
      </text>
    </comment>
    <comment ref="AY26" authorId="0" shapeId="0" xr:uid="{B43EA36E-EBCD-694F-82B4-EC05D2EA01C9}">
      <text>
        <r>
          <rPr>
            <sz val="10"/>
            <color rgb="FF000000"/>
            <rFont val="Arial"/>
            <family val="2"/>
          </rPr>
          <t xml:space="preserve">Prod spécifique pour un preroll
</t>
        </r>
      </text>
    </comment>
    <comment ref="AF36" authorId="1" shapeId="0" xr:uid="{80F1FC79-E8DE-C24A-BFEE-56F136F789AE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Pause famille
</t>
        </r>
      </text>
    </comment>
    <comment ref="J53" authorId="0" shapeId="0" xr:uid="{5A926FB0-3418-3D49-A92E-98588EBD02CB}">
      <text>
        <r>
          <rPr>
            <sz val="10"/>
            <color rgb="FF000000"/>
            <rFont val="Arial"/>
            <family val="2"/>
          </rPr>
          <t>Paiement 2 de 3 pour la campagne de 2025-2026</t>
        </r>
      </text>
    </comment>
    <comment ref="F55" authorId="0" shapeId="0" xr:uid="{7163C784-6EC2-584D-8900-FAC8529DB816}">
      <text>
        <r>
          <rPr>
            <sz val="10"/>
            <color rgb="FF000000"/>
            <rFont val="Arial"/>
            <family val="2"/>
          </rPr>
          <t>50% de la musique est payée en 2025, l'autre 50% est un prepaid pour 2026. Il n'apparait pas au budget 2025.</t>
        </r>
      </text>
    </comment>
    <comment ref="AK57" authorId="1" shapeId="0" xr:uid="{53CB4007-D5B6-6F49-97CF-E3952C8BAF03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Video pierrefonds
</t>
        </r>
      </text>
    </comment>
    <comment ref="F58" authorId="0" shapeId="0" xr:uid="{F11BDE35-B9D0-7949-86B7-80AD24C30686}">
      <text>
        <r>
          <rPr>
            <sz val="10"/>
            <color rgb="FF000000"/>
            <rFont val="Arial"/>
            <family val="2"/>
          </rPr>
          <t xml:space="preserve">Upgrade talents
</t>
        </r>
      </text>
    </comment>
    <comment ref="BH67" authorId="1" shapeId="0" xr:uid="{C59A276A-9F27-1548-A6CC-2AD87837AC55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Target Budgétaire au 13 mai 2025 (4 210 000), target au budgétaire au 7 juillet 2025 (4 239 000) suite aux ajouts de Marc 
</t>
        </r>
      </text>
    </comment>
  </commentList>
</comments>
</file>

<file path=xl/sharedStrings.xml><?xml version="1.0" encoding="utf-8"?>
<sst xmlns="http://schemas.openxmlformats.org/spreadsheetml/2006/main" count="109" uniqueCount="102">
  <si>
    <t>VERSION</t>
  </si>
  <si>
    <t>BUDGET RÉEL 2025</t>
  </si>
  <si>
    <t>5.0</t>
  </si>
  <si>
    <t>p</t>
  </si>
  <si>
    <t>DATE</t>
  </si>
  <si>
    <t>QUOTES</t>
  </si>
  <si>
    <t>LIQUIDATION</t>
  </si>
  <si>
    <t>RH</t>
  </si>
  <si>
    <t>CAMPAGNE</t>
  </si>
  <si>
    <t>QUOTES         + FITNESS        + ABRIS</t>
  </si>
  <si>
    <t>SOLDE DES FÊTES</t>
  </si>
  <si>
    <t>FITNESS
+QUOTES</t>
  </si>
  <si>
    <t>LIQUIDATION
+QUOTES
+RH</t>
  </si>
  <si>
    <t>KICKOFF</t>
  </si>
  <si>
    <t>CORE 1</t>
  </si>
  <si>
    <t>CORE 2</t>
  </si>
  <si>
    <t>LOCAL</t>
  </si>
  <si>
    <t>FESTIVAL</t>
  </si>
  <si>
    <t>VENTE 1</t>
  </si>
  <si>
    <t>VENTE 2</t>
  </si>
  <si>
    <t>SPA VIP</t>
  </si>
  <si>
    <t>QUOTES // FITNESS</t>
  </si>
  <si>
    <t>MEDIA</t>
  </si>
  <si>
    <t>NOVEMBRE</t>
  </si>
  <si>
    <t>DECEMBRE</t>
  </si>
  <si>
    <t>JANVIER</t>
  </si>
  <si>
    <t>FEVRIER</t>
  </si>
  <si>
    <t>MARS</t>
  </si>
  <si>
    <t>AVRIL</t>
  </si>
  <si>
    <t>MAI</t>
  </si>
  <si>
    <t>JUIN</t>
  </si>
  <si>
    <t>JUILLET</t>
  </si>
  <si>
    <t>AOUT</t>
  </si>
  <si>
    <t>SEPTEMBRE</t>
  </si>
  <si>
    <t>OCTOBRE</t>
  </si>
  <si>
    <t>TOTAL 2025</t>
  </si>
  <si>
    <t>%</t>
  </si>
  <si>
    <t>DIFFÉRENCE</t>
  </si>
  <si>
    <t>Semaine débutant le lundi</t>
  </si>
  <si>
    <t>TRADITIONNEL</t>
  </si>
  <si>
    <t>RATIO</t>
  </si>
  <si>
    <t>TELEVISION</t>
  </si>
  <si>
    <t>RADIO</t>
  </si>
  <si>
    <t>PANNEAUX ET AFFICHAGES NUMÉRIQUES</t>
  </si>
  <si>
    <t>ENVOIS POSTAUX</t>
  </si>
  <si>
    <t>TOTAL TRADITIONNEL</t>
  </si>
  <si>
    <t>NUMÉRIQUE</t>
  </si>
  <si>
    <t>CIRCULAIRE DIGITALE</t>
  </si>
  <si>
    <t>RADIO NUMÉRIQUE</t>
  </si>
  <si>
    <t>AUDIO ET PODCAST</t>
  </si>
  <si>
    <t>CONTENU DE MARQUE</t>
  </si>
  <si>
    <t>LAPRESSE (LP+, PREROLL, DISPLAY)</t>
  </si>
  <si>
    <t>GOOGLE DISPLAY + PREROLL</t>
  </si>
  <si>
    <t>PROGRAMMATIQUE + GÉOCIBLAGE</t>
  </si>
  <si>
    <t>PREROLL - PREMIUM</t>
  </si>
  <si>
    <t>BANNIÈRES WEB - PREMIUM</t>
  </si>
  <si>
    <t>FACEBOOK + INSTAGRAM (PROMO)</t>
  </si>
  <si>
    <t>FACEBOOK + INSTAGRAM (PRODUIT)</t>
  </si>
  <si>
    <t>PINTEREST</t>
  </si>
  <si>
    <t>TIKTOK</t>
  </si>
  <si>
    <t>TOTAL NUMÉRIQUE</t>
  </si>
  <si>
    <t>AUTRES</t>
  </si>
  <si>
    <t>COMMANDITES</t>
  </si>
  <si>
    <t>RÉSERVE / CONTINGENCE LOCALE</t>
  </si>
  <si>
    <t>TOTAL MÉDIA RÉEL</t>
  </si>
  <si>
    <t>TOTAL MEDIA 2024</t>
  </si>
  <si>
    <t xml:space="preserve">DIFFÉRENCE </t>
  </si>
  <si>
    <t>% vs total 2025</t>
  </si>
  <si>
    <t>% vs total 2024</t>
  </si>
  <si>
    <t>COOP - FOURNISSEURS</t>
  </si>
  <si>
    <t>AQUARINO</t>
  </si>
  <si>
    <t>FIBERWOOD</t>
  </si>
  <si>
    <t xml:space="preserve">BRAND HTH </t>
  </si>
  <si>
    <t>?BBQ?</t>
  </si>
  <si>
    <t>SOLSTICE?</t>
  </si>
  <si>
    <t>FLUIDRA</t>
  </si>
  <si>
    <t>RBF</t>
  </si>
  <si>
    <t>SANIMARC?</t>
  </si>
  <si>
    <t>Production</t>
  </si>
  <si>
    <t>COMMISSION MÉDIA</t>
  </si>
  <si>
    <t>PRODUCTION VIDEO</t>
  </si>
  <si>
    <t>PRODUCTION RADIO</t>
  </si>
  <si>
    <t>MUSIQUE</t>
  </si>
  <si>
    <t>PRODUCTION GRAPHIQUE</t>
  </si>
  <si>
    <t>PRODUCTION PHOTO</t>
  </si>
  <si>
    <t>UDA TV</t>
  </si>
  <si>
    <t>UDA RADIO</t>
  </si>
  <si>
    <t>COPIES</t>
  </si>
  <si>
    <t>HONORAIRES</t>
  </si>
  <si>
    <t>TOTAL PRODUCTION</t>
  </si>
  <si>
    <t>GRAND TOTAL</t>
  </si>
  <si>
    <t>Écart potentiel</t>
  </si>
  <si>
    <t>RATIO PROD/MEDIA</t>
  </si>
  <si>
    <t>Production TV</t>
  </si>
  <si>
    <t>PROD</t>
  </si>
  <si>
    <t>Production photo</t>
  </si>
  <si>
    <t>UDA télé</t>
  </si>
  <si>
    <t>Copies</t>
  </si>
  <si>
    <t>UDA radio</t>
  </si>
  <si>
    <t>Production radio</t>
  </si>
  <si>
    <t>La Presse + Septembre</t>
  </si>
  <si>
    <t>Écart radio (avec ajout SEPTEMBRE)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</si>
</sst>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 * #,##0.00_)\ &quot;$&quot;_ ;_ * \(#,##0.00\)\ &quot;$&quot;_ ;_ * &quot;-&quot;??_)\ &quot;$&quot;_ ;_ @_ "/>
    <numFmt numFmtId="165" formatCode="_ * #,##0.00_)_ ;_ * \(#,##0.00\)_ ;_ * &quot;-&quot;??_)_ ;_ @_ "/>
    <numFmt numFmtId="166" formatCode="yyyy\-mm\-dd"/>
    <numFmt numFmtId="167" formatCode="#,##0.00&quot;$&quot;"/>
    <numFmt numFmtId="168" formatCode="_-* #,##0.00\ [$$-C0C]_-;\-* #,##0.00\ [$$-C0C]_-;_-* &quot;-&quot;??\ [$$-C0C]_-;_-@"/>
    <numFmt numFmtId="169" formatCode="#,##0.00\ [$$-C0C]"/>
    <numFmt numFmtId="170" formatCode="&quot;$&quot;#,##0.00"/>
    <numFmt numFmtId="171" formatCode="0.000%"/>
    <numFmt numFmtId="172" formatCode="#,##0.00\ &quot;$&quot;"/>
  </numFmts>
  <fonts count="41" x14ac:knownFonts="1">
    <font>
      <sz val="10"/>
      <color rgb="FF000000"/>
      <name val="Arial"/>
      <scheme val="minor"/>
    </font>
    <font>
      <b/>
      <sz val="7"/>
      <color rgb="FFFFFFFF"/>
      <name val="Arial"/>
      <family val="2"/>
    </font>
    <font>
      <b/>
      <sz val="25"/>
      <color theme="1"/>
      <name val="Helvetica Neue"/>
      <family val="2"/>
    </font>
    <font>
      <b/>
      <sz val="9"/>
      <color theme="1"/>
      <name val="Arial"/>
      <family val="2"/>
    </font>
    <font>
      <b/>
      <sz val="10"/>
      <color theme="1"/>
      <name val="Helvetica Neue"/>
      <family val="2"/>
    </font>
    <font>
      <b/>
      <sz val="7"/>
      <color theme="1"/>
      <name val="Helvetica Neue"/>
      <family val="2"/>
    </font>
    <font>
      <sz val="10"/>
      <name val="Arial"/>
      <family val="2"/>
    </font>
    <font>
      <b/>
      <sz val="7"/>
      <color theme="1"/>
      <name val="Arial"/>
      <family val="2"/>
    </font>
    <font>
      <b/>
      <sz val="10"/>
      <color theme="1"/>
      <name val="Arial"/>
      <family val="2"/>
    </font>
    <font>
      <b/>
      <sz val="7"/>
      <color rgb="FFFFFFFF"/>
      <name val="Helvetica Neue"/>
      <family val="2"/>
    </font>
    <font>
      <sz val="10"/>
      <color theme="1"/>
      <name val="Arial"/>
      <family val="2"/>
      <scheme val="minor"/>
    </font>
    <font>
      <sz val="10"/>
      <color theme="1"/>
      <name val="Helvetica Neue"/>
      <family val="2"/>
    </font>
    <font>
      <b/>
      <sz val="7"/>
      <color theme="1"/>
      <name val="Calibri"/>
      <family val="2"/>
    </font>
    <font>
      <b/>
      <sz val="14"/>
      <color rgb="FF1C4587"/>
      <name val="Helvetica Neue"/>
      <family val="2"/>
    </font>
    <font>
      <sz val="10"/>
      <color theme="1"/>
      <name val="Arial"/>
      <family val="2"/>
    </font>
    <font>
      <b/>
      <sz val="11"/>
      <color theme="1"/>
      <name val="Helvetica Neue"/>
      <family val="2"/>
    </font>
    <font>
      <b/>
      <sz val="14"/>
      <color rgb="FF0C343D"/>
      <name val="Helvetica Neue"/>
      <family val="2"/>
    </font>
    <font>
      <b/>
      <sz val="10"/>
      <color rgb="FF0C343D"/>
      <name val="Helvetica Neue"/>
      <family val="2"/>
    </font>
    <font>
      <b/>
      <sz val="14"/>
      <color rgb="FF0C343D"/>
      <name val="Calibri"/>
      <family val="2"/>
    </font>
    <font>
      <sz val="10"/>
      <color rgb="FF999999"/>
      <name val="Arial"/>
      <family val="2"/>
      <scheme val="minor"/>
    </font>
    <font>
      <sz val="10"/>
      <color rgb="FF999999"/>
      <name val="Helvetica Neue"/>
      <family val="2"/>
    </font>
    <font>
      <b/>
      <sz val="14"/>
      <color rgb="FF1C4587"/>
      <name val="Arial"/>
      <family val="2"/>
      <scheme val="minor"/>
    </font>
    <font>
      <b/>
      <sz val="8"/>
      <color theme="1"/>
      <name val="Calibri"/>
      <family val="2"/>
    </font>
    <font>
      <b/>
      <sz val="14"/>
      <color rgb="FFFFFFFF"/>
      <name val="Helvetica Neue"/>
      <family val="2"/>
    </font>
    <font>
      <sz val="11"/>
      <color rgb="FF1C1E21"/>
      <name val="Roboto"/>
    </font>
    <font>
      <sz val="10"/>
      <color rgb="FFFFFFFF"/>
      <name val="Helvetica Neue"/>
      <family val="2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Arial"/>
      <family val="2"/>
      <scheme val="minor"/>
    </font>
    <font>
      <sz val="10"/>
      <color rgb="FF000000"/>
      <name val="Helvetica Neue"/>
      <family val="2"/>
    </font>
    <font>
      <b/>
      <sz val="10"/>
      <color rgb="FFFF0000"/>
      <name val="Helvetica Neue"/>
      <family val="2"/>
    </font>
    <font>
      <b/>
      <sz val="10"/>
      <name val="Helvetica Neue"/>
      <family val="2"/>
    </font>
    <font>
      <b/>
      <sz val="10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FF0000"/>
      <name val="Helvetica Neue"/>
      <family val="2"/>
    </font>
    <font>
      <sz val="10"/>
      <color rgb="FFFF0000"/>
      <name val="Arial"/>
      <family val="2"/>
    </font>
    <font>
      <sz val="10"/>
      <color rgb="FFFF0000"/>
      <name val="Arial"/>
      <family val="2"/>
      <scheme val="minor"/>
    </font>
    <font>
      <b/>
      <sz val="14"/>
      <color rgb="FFFF0000"/>
      <name val="Helvetica Neue"/>
      <family val="2"/>
    </font>
  </fonts>
  <fills count="21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theme="9"/>
        <bgColor theme="9"/>
      </patternFill>
    </fill>
    <fill>
      <patternFill patternType="solid">
        <fgColor rgb="FFCFE2F3"/>
        <bgColor rgb="FFCFE2F3"/>
      </patternFill>
    </fill>
    <fill>
      <patternFill patternType="solid">
        <fgColor theme="6"/>
        <bgColor theme="6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D5A6BD"/>
        <bgColor rgb="FFD5A6BD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rgb="FFD1E5FF"/>
        <bgColor rgb="FFD1E5FF"/>
      </patternFill>
    </fill>
    <fill>
      <patternFill patternType="solid">
        <fgColor rgb="FFFF00FF"/>
        <bgColor rgb="FFFF00FF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9900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3">
    <xf numFmtId="0" fontId="0" fillId="0" borderId="0"/>
    <xf numFmtId="165" fontId="30" fillId="0" borderId="0" applyFont="0" applyFill="0" applyBorder="0" applyAlignment="0" applyProtection="0"/>
    <xf numFmtId="164" fontId="35" fillId="0" borderId="0" applyFont="0" applyFill="0" applyBorder="0" applyAlignment="0" applyProtection="0"/>
  </cellStyleXfs>
  <cellXfs count="178">
    <xf numFmtId="0" fontId="0" fillId="0" borderId="0" xfId="0"/>
    <xf numFmtId="0" fontId="1" fillId="0" borderId="0" xfId="0" applyFont="1"/>
    <xf numFmtId="0" fontId="1" fillId="2" borderId="0" xfId="0" applyFont="1" applyFill="1"/>
    <xf numFmtId="0" fontId="3" fillId="3" borderId="0" xfId="0" applyFont="1" applyFill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6" fontId="3" fillId="3" borderId="0" xfId="0" applyNumberFormat="1" applyFont="1" applyFill="1" applyAlignment="1">
      <alignment horizontal="left"/>
    </xf>
    <xf numFmtId="0" fontId="7" fillId="0" borderId="0" xfId="0" applyFont="1"/>
    <xf numFmtId="0" fontId="1" fillId="0" borderId="4" xfId="0" applyFont="1" applyBorder="1"/>
    <xf numFmtId="0" fontId="4" fillId="0" borderId="4" xfId="0" applyFont="1" applyBorder="1" applyAlignment="1">
      <alignment horizontal="center" vertical="center"/>
    </xf>
    <xf numFmtId="0" fontId="8" fillId="0" borderId="0" xfId="0" applyFont="1"/>
    <xf numFmtId="0" fontId="9" fillId="4" borderId="8" xfId="0" applyFont="1" applyFill="1" applyBorder="1"/>
    <xf numFmtId="0" fontId="4" fillId="0" borderId="8" xfId="0" applyFont="1" applyBorder="1" applyAlignment="1">
      <alignment horizontal="center" vertical="center" wrapText="1"/>
    </xf>
    <xf numFmtId="0" fontId="9" fillId="4" borderId="0" xfId="0" applyFont="1" applyFill="1"/>
    <xf numFmtId="0" fontId="9" fillId="0" borderId="0" xfId="0" applyFont="1"/>
    <xf numFmtId="0" fontId="4" fillId="0" borderId="8" xfId="0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8" xfId="0" applyFont="1" applyBorder="1"/>
    <xf numFmtId="0" fontId="5" fillId="5" borderId="8" xfId="0" applyFont="1" applyFill="1" applyBorder="1" applyAlignment="1">
      <alignment horizontal="center"/>
    </xf>
    <xf numFmtId="0" fontId="5" fillId="6" borderId="8" xfId="0" applyFont="1" applyFill="1" applyBorder="1" applyAlignment="1">
      <alignment horizontal="center"/>
    </xf>
    <xf numFmtId="0" fontId="12" fillId="5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167" fontId="13" fillId="0" borderId="0" xfId="0" applyNumberFormat="1" applyFont="1" applyAlignment="1">
      <alignment vertical="top"/>
    </xf>
    <xf numFmtId="167" fontId="13" fillId="0" borderId="6" xfId="0" applyNumberFormat="1" applyFont="1" applyBorder="1" applyAlignment="1">
      <alignment vertical="top"/>
    </xf>
    <xf numFmtId="167" fontId="13" fillId="0" borderId="7" xfId="0" applyNumberFormat="1" applyFont="1" applyBorder="1" applyAlignment="1">
      <alignment vertical="top"/>
    </xf>
    <xf numFmtId="167" fontId="14" fillId="0" borderId="0" xfId="0" applyNumberFormat="1" applyFont="1"/>
    <xf numFmtId="167" fontId="11" fillId="0" borderId="0" xfId="0" applyNumberFormat="1" applyFont="1"/>
    <xf numFmtId="167" fontId="13" fillId="0" borderId="4" xfId="0" applyNumberFormat="1" applyFont="1" applyBorder="1" applyAlignment="1">
      <alignment vertical="top"/>
    </xf>
    <xf numFmtId="167" fontId="13" fillId="0" borderId="10" xfId="0" applyNumberFormat="1" applyFont="1" applyBorder="1" applyAlignment="1">
      <alignment vertical="top"/>
    </xf>
    <xf numFmtId="0" fontId="15" fillId="5" borderId="0" xfId="0" applyFont="1" applyFill="1"/>
    <xf numFmtId="0" fontId="15" fillId="5" borderId="8" xfId="0" applyFont="1" applyFill="1" applyBorder="1"/>
    <xf numFmtId="167" fontId="10" fillId="0" borderId="0" xfId="0" applyNumberFormat="1" applyFont="1"/>
    <xf numFmtId="167" fontId="4" fillId="0" borderId="8" xfId="0" applyNumberFormat="1" applyFont="1" applyBorder="1"/>
    <xf numFmtId="10" fontId="11" fillId="0" borderId="8" xfId="0" applyNumberFormat="1" applyFont="1" applyBorder="1"/>
    <xf numFmtId="0" fontId="15" fillId="0" borderId="0" xfId="0" applyFont="1"/>
    <xf numFmtId="0" fontId="15" fillId="0" borderId="8" xfId="0" applyFont="1" applyBorder="1"/>
    <xf numFmtId="167" fontId="4" fillId="0" borderId="12" xfId="0" applyNumberFormat="1" applyFont="1" applyBorder="1"/>
    <xf numFmtId="10" fontId="11" fillId="0" borderId="12" xfId="0" applyNumberFormat="1" applyFont="1" applyBorder="1"/>
    <xf numFmtId="0" fontId="16" fillId="5" borderId="0" xfId="0" applyFont="1" applyFill="1"/>
    <xf numFmtId="0" fontId="16" fillId="5" borderId="8" xfId="0" applyFont="1" applyFill="1" applyBorder="1"/>
    <xf numFmtId="0" fontId="18" fillId="5" borderId="0" xfId="0" applyFont="1" applyFill="1"/>
    <xf numFmtId="167" fontId="19" fillId="0" borderId="0" xfId="0" applyNumberFormat="1" applyFont="1"/>
    <xf numFmtId="10" fontId="20" fillId="0" borderId="0" xfId="0" applyNumberFormat="1" applyFont="1"/>
    <xf numFmtId="0" fontId="21" fillId="0" borderId="0" xfId="0" applyFont="1"/>
    <xf numFmtId="0" fontId="22" fillId="5" borderId="0" xfId="0" applyFont="1" applyFill="1"/>
    <xf numFmtId="10" fontId="10" fillId="0" borderId="8" xfId="0" applyNumberFormat="1" applyFont="1" applyBorder="1"/>
    <xf numFmtId="0" fontId="22" fillId="0" borderId="0" xfId="0" applyFont="1"/>
    <xf numFmtId="0" fontId="15" fillId="5" borderId="11" xfId="0" applyFont="1" applyFill="1" applyBorder="1"/>
    <xf numFmtId="167" fontId="17" fillId="5" borderId="8" xfId="0" applyNumberFormat="1" applyFont="1" applyFill="1" applyBorder="1"/>
    <xf numFmtId="167" fontId="4" fillId="0" borderId="0" xfId="0" applyNumberFormat="1" applyFont="1"/>
    <xf numFmtId="0" fontId="14" fillId="0" borderId="0" xfId="0" applyFont="1"/>
    <xf numFmtId="10" fontId="10" fillId="0" borderId="0" xfId="0" applyNumberFormat="1" applyFont="1"/>
    <xf numFmtId="168" fontId="19" fillId="0" borderId="0" xfId="0" applyNumberFormat="1" applyFont="1"/>
    <xf numFmtId="169" fontId="4" fillId="0" borderId="8" xfId="0" applyNumberFormat="1" applyFont="1" applyBorder="1"/>
    <xf numFmtId="170" fontId="14" fillId="0" borderId="16" xfId="0" applyNumberFormat="1" applyFont="1" applyBorder="1"/>
    <xf numFmtId="167" fontId="4" fillId="0" borderId="3" xfId="0" applyNumberFormat="1" applyFont="1" applyBorder="1" applyAlignment="1">
      <alignment horizontal="right"/>
    </xf>
    <xf numFmtId="167" fontId="4" fillId="2" borderId="3" xfId="0" applyNumberFormat="1" applyFont="1" applyFill="1" applyBorder="1" applyAlignment="1">
      <alignment horizontal="right"/>
    </xf>
    <xf numFmtId="10" fontId="19" fillId="0" borderId="0" xfId="0" applyNumberFormat="1" applyFont="1"/>
    <xf numFmtId="0" fontId="10" fillId="0" borderId="0" xfId="0" applyFont="1" applyAlignment="1">
      <alignment horizontal="center"/>
    </xf>
    <xf numFmtId="0" fontId="17" fillId="5" borderId="0" xfId="0" applyFont="1" applyFill="1"/>
    <xf numFmtId="167" fontId="10" fillId="0" borderId="8" xfId="0" applyNumberFormat="1" applyFont="1" applyBorder="1"/>
    <xf numFmtId="0" fontId="24" fillId="15" borderId="0" xfId="0" applyFont="1" applyFill="1" applyAlignment="1">
      <alignment horizontal="right"/>
    </xf>
    <xf numFmtId="0" fontId="5" fillId="14" borderId="8" xfId="0" applyFont="1" applyFill="1" applyBorder="1" applyAlignment="1">
      <alignment horizontal="center"/>
    </xf>
    <xf numFmtId="0" fontId="5" fillId="17" borderId="8" xfId="0" applyFont="1" applyFill="1" applyBorder="1" applyAlignment="1">
      <alignment horizontal="center"/>
    </xf>
    <xf numFmtId="0" fontId="5" fillId="18" borderId="8" xfId="0" applyFont="1" applyFill="1" applyBorder="1" applyAlignment="1">
      <alignment horizontal="center"/>
    </xf>
    <xf numFmtId="0" fontId="26" fillId="0" borderId="0" xfId="0" applyFont="1"/>
    <xf numFmtId="165" fontId="0" fillId="19" borderId="0" xfId="1" applyFont="1" applyFill="1"/>
    <xf numFmtId="169" fontId="0" fillId="0" borderId="0" xfId="0" applyNumberFormat="1"/>
    <xf numFmtId="172" fontId="0" fillId="0" borderId="0" xfId="0" applyNumberFormat="1"/>
    <xf numFmtId="0" fontId="36" fillId="0" borderId="0" xfId="0" applyFont="1"/>
    <xf numFmtId="164" fontId="0" fillId="0" borderId="0" xfId="2" applyFont="1"/>
    <xf numFmtId="172" fontId="0" fillId="20" borderId="0" xfId="0" applyNumberFormat="1" applyFill="1"/>
    <xf numFmtId="0" fontId="0" fillId="20" borderId="0" xfId="0" applyFill="1"/>
    <xf numFmtId="167" fontId="39" fillId="0" borderId="0" xfId="0" applyNumberFormat="1" applyFont="1"/>
    <xf numFmtId="167" fontId="40" fillId="0" borderId="6" xfId="0" applyNumberFormat="1" applyFont="1" applyBorder="1" applyAlignment="1">
      <alignment vertical="top"/>
    </xf>
    <xf numFmtId="167" fontId="40" fillId="0" borderId="7" xfId="0" applyNumberFormat="1" applyFont="1" applyBorder="1" applyAlignment="1">
      <alignment vertical="top"/>
    </xf>
    <xf numFmtId="167" fontId="40" fillId="0" borderId="4" xfId="0" applyNumberFormat="1" applyFont="1" applyBorder="1" applyAlignment="1">
      <alignment vertical="top"/>
    </xf>
    <xf numFmtId="167" fontId="40" fillId="0" borderId="10" xfId="0" applyNumberFormat="1" applyFont="1" applyBorder="1" applyAlignment="1">
      <alignment vertical="top"/>
    </xf>
    <xf numFmtId="0" fontId="39" fillId="0" borderId="0" xfId="0" applyFont="1"/>
    <xf numFmtId="167" fontId="11" fillId="0" borderId="8" xfId="0" applyNumberFormat="1" applyFont="1" applyBorder="1"/>
    <xf numFmtId="167" fontId="11" fillId="0" borderId="1" xfId="0" applyNumberFormat="1" applyFont="1" applyBorder="1" applyAlignment="1">
      <alignment horizontal="center"/>
    </xf>
    <xf numFmtId="167" fontId="11" fillId="0" borderId="2" xfId="0" applyNumberFormat="1" applyFont="1" applyBorder="1" applyAlignment="1">
      <alignment horizontal="center"/>
    </xf>
    <xf numFmtId="167" fontId="11" fillId="0" borderId="3" xfId="0" applyNumberFormat="1" applyFont="1" applyBorder="1" applyAlignment="1">
      <alignment horizontal="center"/>
    </xf>
    <xf numFmtId="167" fontId="17" fillId="5" borderId="1" xfId="0" applyNumberFormat="1" applyFont="1" applyFill="1" applyBorder="1" applyAlignment="1">
      <alignment horizontal="center"/>
    </xf>
    <xf numFmtId="167" fontId="17" fillId="5" borderId="2" xfId="0" applyNumberFormat="1" applyFont="1" applyFill="1" applyBorder="1" applyAlignment="1">
      <alignment horizontal="center"/>
    </xf>
    <xf numFmtId="167" fontId="17" fillId="5" borderId="3" xfId="0" applyNumberFormat="1" applyFont="1" applyFill="1" applyBorder="1" applyAlignment="1">
      <alignment horizontal="center"/>
    </xf>
    <xf numFmtId="170" fontId="11" fillId="0" borderId="1" xfId="0" applyNumberFormat="1" applyFont="1" applyBorder="1" applyAlignment="1">
      <alignment horizontal="center"/>
    </xf>
    <xf numFmtId="170" fontId="11" fillId="0" borderId="2" xfId="0" applyNumberFormat="1" applyFont="1" applyBorder="1" applyAlignment="1">
      <alignment horizontal="center"/>
    </xf>
    <xf numFmtId="170" fontId="11" fillId="0" borderId="3" xfId="0" applyNumberFormat="1" applyFont="1" applyBorder="1" applyAlignment="1">
      <alignment horizontal="center"/>
    </xf>
    <xf numFmtId="169" fontId="33" fillId="0" borderId="1" xfId="0" applyNumberFormat="1" applyFont="1" applyBorder="1" applyAlignment="1">
      <alignment horizontal="right"/>
    </xf>
    <xf numFmtId="169" fontId="33" fillId="0" borderId="2" xfId="0" applyNumberFormat="1" applyFont="1" applyBorder="1" applyAlignment="1">
      <alignment horizontal="right"/>
    </xf>
    <xf numFmtId="169" fontId="33" fillId="0" borderId="3" xfId="0" applyNumberFormat="1" applyFont="1" applyBorder="1" applyAlignment="1">
      <alignment horizontal="right"/>
    </xf>
    <xf numFmtId="169" fontId="32" fillId="0" borderId="1" xfId="0" applyNumberFormat="1" applyFont="1" applyBorder="1" applyAlignment="1">
      <alignment horizontal="right"/>
    </xf>
    <xf numFmtId="169" fontId="32" fillId="0" borderId="2" xfId="0" applyNumberFormat="1" applyFont="1" applyBorder="1" applyAlignment="1">
      <alignment horizontal="right"/>
    </xf>
    <xf numFmtId="169" fontId="32" fillId="0" borderId="3" xfId="0" applyNumberFormat="1" applyFont="1" applyBorder="1" applyAlignment="1">
      <alignment horizontal="right"/>
    </xf>
    <xf numFmtId="167" fontId="11" fillId="0" borderId="1" xfId="0" applyNumberFormat="1" applyFont="1" applyBorder="1"/>
    <xf numFmtId="0" fontId="6" fillId="0" borderId="2" xfId="0" applyFont="1" applyBorder="1"/>
    <xf numFmtId="0" fontId="6" fillId="0" borderId="3" xfId="0" applyFont="1" applyBorder="1"/>
    <xf numFmtId="167" fontId="37" fillId="0" borderId="1" xfId="0" applyNumberFormat="1" applyFont="1" applyBorder="1"/>
    <xf numFmtId="0" fontId="38" fillId="0" borderId="2" xfId="0" applyFont="1" applyBorder="1"/>
    <xf numFmtId="0" fontId="38" fillId="0" borderId="3" xfId="0" applyFont="1" applyBorder="1"/>
    <xf numFmtId="167" fontId="32" fillId="5" borderId="1" xfId="0" applyNumberFormat="1" applyFont="1" applyFill="1" applyBorder="1"/>
    <xf numFmtId="0" fontId="10" fillId="0" borderId="0" xfId="0" applyFont="1"/>
    <xf numFmtId="0" fontId="0" fillId="0" borderId="0" xfId="0"/>
    <xf numFmtId="167" fontId="10" fillId="0" borderId="0" xfId="0" applyNumberFormat="1" applyFont="1"/>
    <xf numFmtId="167" fontId="13" fillId="0" borderId="5" xfId="0" applyNumberFormat="1" applyFont="1" applyBorder="1" applyAlignment="1">
      <alignment vertical="top"/>
    </xf>
    <xf numFmtId="0" fontId="6" fillId="0" borderId="9" xfId="0" applyFont="1" applyBorder="1"/>
    <xf numFmtId="167" fontId="23" fillId="14" borderId="12" xfId="0" applyNumberFormat="1" applyFont="1" applyFill="1" applyBorder="1" applyAlignment="1">
      <alignment horizontal="center" vertical="center"/>
    </xf>
    <xf numFmtId="0" fontId="6" fillId="0" borderId="11" xfId="0" applyFont="1" applyBorder="1"/>
    <xf numFmtId="167" fontId="11" fillId="0" borderId="1" xfId="0" applyNumberFormat="1" applyFont="1" applyBorder="1" applyAlignment="1">
      <alignment horizontal="right"/>
    </xf>
    <xf numFmtId="167" fontId="11" fillId="0" borderId="2" xfId="0" applyNumberFormat="1" applyFont="1" applyBorder="1" applyAlignment="1">
      <alignment horizontal="right"/>
    </xf>
    <xf numFmtId="167" fontId="11" fillId="0" borderId="3" xfId="0" applyNumberFormat="1" applyFont="1" applyBorder="1" applyAlignment="1">
      <alignment horizontal="right"/>
    </xf>
    <xf numFmtId="167" fontId="37" fillId="0" borderId="1" xfId="0" applyNumberFormat="1" applyFont="1" applyBorder="1" applyAlignment="1">
      <alignment horizontal="center"/>
    </xf>
    <xf numFmtId="167" fontId="37" fillId="0" borderId="2" xfId="0" applyNumberFormat="1" applyFont="1" applyBorder="1" applyAlignment="1">
      <alignment horizontal="center"/>
    </xf>
    <xf numFmtId="167" fontId="37" fillId="0" borderId="3" xfId="0" applyNumberFormat="1" applyFont="1" applyBorder="1" applyAlignment="1">
      <alignment horizontal="center"/>
    </xf>
    <xf numFmtId="169" fontId="4" fillId="0" borderId="2" xfId="0" applyNumberFormat="1" applyFont="1" applyBorder="1" applyAlignment="1">
      <alignment horizontal="right"/>
    </xf>
    <xf numFmtId="169" fontId="4" fillId="0" borderId="1" xfId="0" applyNumberFormat="1" applyFont="1" applyBorder="1" applyAlignment="1">
      <alignment horizontal="right"/>
    </xf>
    <xf numFmtId="169" fontId="4" fillId="0" borderId="3" xfId="0" applyNumberFormat="1" applyFont="1" applyBorder="1" applyAlignment="1">
      <alignment horizontal="right"/>
    </xf>
    <xf numFmtId="0" fontId="34" fillId="0" borderId="2" xfId="0" applyFont="1" applyBorder="1"/>
    <xf numFmtId="0" fontId="34" fillId="0" borderId="3" xfId="0" applyFont="1" applyBorder="1"/>
    <xf numFmtId="167" fontId="11" fillId="0" borderId="2" xfId="0" applyNumberFormat="1" applyFont="1" applyBorder="1"/>
    <xf numFmtId="167" fontId="11" fillId="0" borderId="3" xfId="0" applyNumberFormat="1" applyFont="1" applyBorder="1"/>
    <xf numFmtId="169" fontId="10" fillId="0" borderId="1" xfId="0" applyNumberFormat="1" applyFont="1" applyBorder="1"/>
    <xf numFmtId="169" fontId="10" fillId="0" borderId="2" xfId="0" applyNumberFormat="1" applyFont="1" applyBorder="1"/>
    <xf numFmtId="169" fontId="10" fillId="0" borderId="3" xfId="0" applyNumberFormat="1" applyFont="1" applyBorder="1"/>
    <xf numFmtId="167" fontId="37" fillId="0" borderId="2" xfId="0" applyNumberFormat="1" applyFont="1" applyBorder="1"/>
    <xf numFmtId="167" fontId="37" fillId="0" borderId="3" xfId="0" applyNumberFormat="1" applyFont="1" applyBorder="1"/>
    <xf numFmtId="167" fontId="31" fillId="0" borderId="1" xfId="0" applyNumberFormat="1" applyFont="1" applyBorder="1"/>
    <xf numFmtId="167" fontId="31" fillId="0" borderId="2" xfId="0" applyNumberFormat="1" applyFont="1" applyBorder="1"/>
    <xf numFmtId="167" fontId="31" fillId="0" borderId="3" xfId="0" applyNumberFormat="1" applyFont="1" applyBorder="1"/>
    <xf numFmtId="0" fontId="4" fillId="0" borderId="0" xfId="0" applyFont="1" applyAlignment="1">
      <alignment horizontal="center" vertical="center"/>
    </xf>
    <xf numFmtId="10" fontId="11" fillId="0" borderId="2" xfId="0" applyNumberFormat="1" applyFont="1" applyBorder="1" applyAlignment="1">
      <alignment horizontal="right"/>
    </xf>
    <xf numFmtId="10" fontId="37" fillId="0" borderId="2" xfId="0" applyNumberFormat="1" applyFont="1" applyBorder="1" applyAlignment="1">
      <alignment horizontal="right"/>
    </xf>
    <xf numFmtId="170" fontId="11" fillId="0" borderId="2" xfId="0" applyNumberFormat="1" applyFont="1" applyBorder="1" applyAlignment="1">
      <alignment horizontal="right"/>
    </xf>
    <xf numFmtId="170" fontId="11" fillId="0" borderId="1" xfId="0" applyNumberFormat="1" applyFont="1" applyBorder="1" applyAlignment="1">
      <alignment horizontal="right"/>
    </xf>
    <xf numFmtId="170" fontId="11" fillId="0" borderId="6" xfId="0" applyNumberFormat="1" applyFont="1" applyBorder="1" applyAlignment="1">
      <alignment horizontal="right"/>
    </xf>
    <xf numFmtId="0" fontId="6" fillId="0" borderId="6" xfId="0" applyFont="1" applyBorder="1"/>
    <xf numFmtId="0" fontId="6" fillId="0" borderId="7" xfId="0" applyFont="1" applyBorder="1"/>
    <xf numFmtId="170" fontId="37" fillId="0" borderId="2" xfId="0" applyNumberFormat="1" applyFont="1" applyBorder="1" applyAlignment="1">
      <alignment horizontal="right"/>
    </xf>
    <xf numFmtId="0" fontId="10" fillId="7" borderId="1" xfId="0" applyFont="1" applyFill="1" applyBorder="1" applyAlignment="1">
      <alignment horizontal="center"/>
    </xf>
    <xf numFmtId="0" fontId="10" fillId="8" borderId="1" xfId="0" applyFont="1" applyFill="1" applyBorder="1"/>
    <xf numFmtId="0" fontId="10" fillId="9" borderId="2" xfId="0" applyFont="1" applyFill="1" applyBorder="1" applyAlignment="1">
      <alignment horizontal="center"/>
    </xf>
    <xf numFmtId="0" fontId="10" fillId="10" borderId="1" xfId="0" applyFont="1" applyFill="1" applyBorder="1" applyAlignment="1">
      <alignment horizontal="center"/>
    </xf>
    <xf numFmtId="0" fontId="39" fillId="4" borderId="1" xfId="0" applyFont="1" applyFill="1" applyBorder="1" applyAlignment="1">
      <alignment horizontal="center"/>
    </xf>
    <xf numFmtId="0" fontId="10" fillId="11" borderId="1" xfId="0" applyFont="1" applyFill="1" applyBorder="1"/>
    <xf numFmtId="0" fontId="10" fillId="12" borderId="1" xfId="0" applyFont="1" applyFill="1" applyBorder="1" applyAlignment="1">
      <alignment horizontal="center"/>
    </xf>
    <xf numFmtId="0" fontId="10" fillId="13" borderId="1" xfId="0" applyFont="1" applyFill="1" applyBorder="1" applyAlignment="1">
      <alignment horizontal="center"/>
    </xf>
    <xf numFmtId="167" fontId="17" fillId="5" borderId="1" xfId="0" applyNumberFormat="1" applyFont="1" applyFill="1" applyBorder="1"/>
    <xf numFmtId="167" fontId="32" fillId="5" borderId="5" xfId="0" applyNumberFormat="1" applyFont="1" applyFill="1" applyBorder="1"/>
    <xf numFmtId="0" fontId="38" fillId="0" borderId="6" xfId="0" applyFont="1" applyBorder="1"/>
    <xf numFmtId="0" fontId="38" fillId="0" borderId="7" xfId="0" applyFont="1" applyBorder="1"/>
    <xf numFmtId="170" fontId="37" fillId="0" borderId="13" xfId="0" applyNumberFormat="1" applyFont="1" applyBorder="1" applyAlignment="1">
      <alignment horizontal="right"/>
    </xf>
    <xf numFmtId="0" fontId="38" fillId="0" borderId="14" xfId="0" applyFont="1" applyBorder="1"/>
    <xf numFmtId="0" fontId="38" fillId="0" borderId="15" xfId="0" applyFont="1" applyBorder="1"/>
    <xf numFmtId="171" fontId="11" fillId="0" borderId="2" xfId="0" applyNumberFormat="1" applyFont="1" applyBorder="1" applyAlignment="1">
      <alignment horizontal="right"/>
    </xf>
    <xf numFmtId="171" fontId="37" fillId="0" borderId="2" xfId="0" applyNumberFormat="1" applyFont="1" applyBorder="1" applyAlignment="1">
      <alignment horizontal="right"/>
    </xf>
    <xf numFmtId="171" fontId="37" fillId="0" borderId="4" xfId="0" applyNumberFormat="1" applyFont="1" applyBorder="1" applyAlignment="1">
      <alignment horizontal="right"/>
    </xf>
    <xf numFmtId="0" fontId="38" fillId="0" borderId="4" xfId="0" applyFont="1" applyBorder="1"/>
    <xf numFmtId="0" fontId="38" fillId="0" borderId="10" xfId="0" applyFont="1" applyBorder="1"/>
    <xf numFmtId="167" fontId="4" fillId="0" borderId="12" xfId="0" applyNumberFormat="1" applyFont="1" applyBorder="1" applyAlignment="1">
      <alignment vertical="center"/>
    </xf>
    <xf numFmtId="167" fontId="17" fillId="0" borderId="1" xfId="0" applyNumberFormat="1" applyFont="1" applyBorder="1" applyAlignment="1">
      <alignment horizontal="center"/>
    </xf>
    <xf numFmtId="167" fontId="17" fillId="0" borderId="2" xfId="0" applyNumberFormat="1" applyFont="1" applyBorder="1" applyAlignment="1">
      <alignment horizontal="center"/>
    </xf>
    <xf numFmtId="167" fontId="17" fillId="0" borderId="3" xfId="0" applyNumberFormat="1" applyFont="1" applyBorder="1" applyAlignment="1">
      <alignment horizontal="center"/>
    </xf>
    <xf numFmtId="167" fontId="32" fillId="0" borderId="1" xfId="0" applyNumberFormat="1" applyFont="1" applyBorder="1"/>
    <xf numFmtId="167" fontId="17" fillId="0" borderId="1" xfId="0" applyNumberFormat="1" applyFont="1" applyBorder="1"/>
    <xf numFmtId="167" fontId="11" fillId="5" borderId="1" xfId="0" applyNumberFormat="1" applyFont="1" applyFill="1" applyBorder="1"/>
    <xf numFmtId="0" fontId="5" fillId="5" borderId="1" xfId="0" applyFont="1" applyFill="1" applyBorder="1" applyAlignment="1">
      <alignment horizontal="center"/>
    </xf>
    <xf numFmtId="167" fontId="11" fillId="0" borderId="0" xfId="0" applyNumberFormat="1" applyFont="1" applyAlignment="1">
      <alignment horizontal="right"/>
    </xf>
    <xf numFmtId="167" fontId="25" fillId="0" borderId="0" xfId="0" applyNumberFormat="1" applyFont="1" applyAlignment="1">
      <alignment horizontal="right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16" borderId="9" xfId="0" applyFont="1" applyFill="1" applyBorder="1" applyAlignment="1">
      <alignment horizontal="center" vertical="center"/>
    </xf>
    <xf numFmtId="0" fontId="6" fillId="0" borderId="4" xfId="0" applyFont="1" applyBorder="1"/>
    <xf numFmtId="0" fontId="6" fillId="0" borderId="10" xfId="0" applyFont="1" applyBorder="1"/>
    <xf numFmtId="0" fontId="2" fillId="0" borderId="0" xfId="0" applyFont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3">
    <cellStyle name="Comma" xfId="1" builtinId="3"/>
    <cellStyle name="Currency" xfId="2" builtinId="4"/>
    <cellStyle name="Normal" xfId="0" builtinId="0"/>
  </cellStyles>
  <dxfs count="2"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AA84F"/>
    <outlinePr summaryBelow="0" summaryRight="0"/>
    <pageSetUpPr fitToPage="1"/>
  </sheetPr>
  <dimension ref="A1:ED158"/>
  <sheetViews>
    <sheetView tabSelected="1" zoomScale="84" workbookViewId="0">
      <pane xSplit="3" ySplit="8" topLeftCell="D9" activePane="bottomRight" state="frozen"/>
      <selection pane="topRight" activeCell="E1" sqref="E1"/>
      <selection pane="bottomLeft" activeCell="A9" sqref="A9"/>
      <selection pane="bottomRight" activeCell="D1" sqref="D1:D1048576"/>
    </sheetView>
  </sheetViews>
  <sheetFormatPr baseColWidth="10" defaultColWidth="12.6640625" defaultRowHeight="15.75" customHeight="1" x14ac:dyDescent="0.15"/>
  <cols>
    <col min="1" max="2" width="9" hidden="1" customWidth="1"/>
    <col min="3" max="3" width="4" customWidth="1"/>
    <col min="5" max="5" width="38.33203125" customWidth="1"/>
    <col min="6" max="40" width="3" customWidth="1"/>
    <col min="41" max="41" width="11.6640625" customWidth="1"/>
    <col min="42" max="42" width="2.33203125" customWidth="1"/>
    <col min="43" max="43" width="1" customWidth="1"/>
    <col min="44" max="44" width="3" customWidth="1"/>
    <col min="45" max="45" width="6" customWidth="1"/>
    <col min="46" max="51" width="3" customWidth="1"/>
    <col min="52" max="53" width="4" customWidth="1"/>
    <col min="54" max="54" width="4.6640625" customWidth="1"/>
    <col min="55" max="58" width="3" customWidth="1"/>
    <col min="59" max="59" width="3.33203125" customWidth="1"/>
    <col min="60" max="60" width="14.1640625" bestFit="1" customWidth="1"/>
    <col min="61" max="61" width="8.1640625" bestFit="1" customWidth="1"/>
    <col min="62" max="62" width="2.6640625" customWidth="1"/>
    <col min="63" max="63" width="13.83203125" bestFit="1" customWidth="1"/>
    <col min="64" max="64" width="8" hidden="1" customWidth="1"/>
    <col min="68" max="68" width="29.6640625" bestFit="1" customWidth="1"/>
  </cols>
  <sheetData>
    <row r="1" spans="1:64" ht="13" customHeight="1" x14ac:dyDescent="0.15">
      <c r="A1" s="1"/>
      <c r="B1" s="1"/>
      <c r="C1" s="1"/>
      <c r="E1" s="2" t="s">
        <v>0</v>
      </c>
      <c r="F1" s="175" t="s">
        <v>1</v>
      </c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"/>
      <c r="AD1" s="1"/>
      <c r="AE1" s="1"/>
      <c r="AF1" s="1"/>
      <c r="AG1" s="1"/>
      <c r="AH1" s="1"/>
      <c r="AI1" s="1">
        <v>19</v>
      </c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</row>
    <row r="2" spans="1:64" ht="13" x14ac:dyDescent="0.15">
      <c r="A2" s="1"/>
      <c r="B2" s="1"/>
      <c r="C2" s="1"/>
      <c r="E2" s="3" t="s">
        <v>2</v>
      </c>
      <c r="F2" s="104"/>
      <c r="G2" s="104"/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4"/>
      <c r="T2" s="104"/>
      <c r="U2" s="104"/>
      <c r="V2" s="104"/>
      <c r="W2" s="104"/>
      <c r="X2" s="104"/>
      <c r="Y2" s="104"/>
      <c r="Z2" s="104"/>
      <c r="AA2" s="104"/>
      <c r="AB2" s="104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</row>
    <row r="3" spans="1:64" ht="14" thickBot="1" x14ac:dyDescent="0.2">
      <c r="A3" s="1" t="s">
        <v>3</v>
      </c>
      <c r="B3" s="1"/>
      <c r="C3" s="1">
        <v>2</v>
      </c>
      <c r="E3" s="2" t="s">
        <v>4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5"/>
      <c r="U3" s="5"/>
      <c r="V3" s="5"/>
      <c r="X3" s="4"/>
      <c r="Y3" s="4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</row>
    <row r="4" spans="1:64" ht="14" thickBot="1" x14ac:dyDescent="0.2">
      <c r="A4" s="1"/>
      <c r="B4" s="1"/>
      <c r="C4" s="1"/>
      <c r="E4" s="6">
        <v>45790</v>
      </c>
      <c r="F4" s="170" t="s">
        <v>5</v>
      </c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8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7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</row>
    <row r="5" spans="1:64" ht="16.5" customHeight="1" thickBot="1" x14ac:dyDescent="0.2">
      <c r="A5" s="1"/>
      <c r="B5" s="1"/>
      <c r="C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8"/>
      <c r="R5" s="9"/>
      <c r="S5" s="4"/>
      <c r="T5" s="176" t="s">
        <v>6</v>
      </c>
      <c r="U5" s="137"/>
      <c r="V5" s="138"/>
      <c r="W5" s="1"/>
      <c r="X5" s="8"/>
      <c r="Y5" s="176" t="s">
        <v>7</v>
      </c>
      <c r="Z5" s="137"/>
      <c r="AA5" s="138"/>
      <c r="AB5" s="9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0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</row>
    <row r="6" spans="1:64" ht="48.75" customHeight="1" thickBot="1" x14ac:dyDescent="0.2">
      <c r="A6" s="1"/>
      <c r="B6" s="1"/>
      <c r="C6" s="1"/>
      <c r="E6" s="11" t="s">
        <v>8</v>
      </c>
      <c r="F6" s="171" t="s">
        <v>9</v>
      </c>
      <c r="G6" s="97"/>
      <c r="H6" s="97"/>
      <c r="I6" s="98"/>
      <c r="J6" s="171" t="s">
        <v>10</v>
      </c>
      <c r="K6" s="97"/>
      <c r="L6" s="97"/>
      <c r="M6" s="98"/>
      <c r="N6" s="170" t="s">
        <v>11</v>
      </c>
      <c r="O6" s="97"/>
      <c r="P6" s="97"/>
      <c r="Q6" s="97"/>
      <c r="R6" s="98"/>
      <c r="S6" s="170" t="s">
        <v>12</v>
      </c>
      <c r="T6" s="97"/>
      <c r="U6" s="97"/>
      <c r="V6" s="97"/>
      <c r="W6" s="98"/>
      <c r="X6" s="177" t="s">
        <v>13</v>
      </c>
      <c r="Y6" s="97"/>
      <c r="Z6" s="97"/>
      <c r="AA6" s="98"/>
      <c r="AB6" s="170" t="s">
        <v>14</v>
      </c>
      <c r="AC6" s="97"/>
      <c r="AD6" s="97"/>
      <c r="AE6" s="98"/>
      <c r="AF6" s="170" t="s">
        <v>15</v>
      </c>
      <c r="AG6" s="97"/>
      <c r="AH6" s="97"/>
      <c r="AI6" s="97"/>
      <c r="AJ6" s="98"/>
      <c r="AK6" s="170" t="s">
        <v>16</v>
      </c>
      <c r="AL6" s="97"/>
      <c r="AM6" s="97"/>
      <c r="AN6" s="98"/>
      <c r="AO6" s="12" t="s">
        <v>17</v>
      </c>
      <c r="AP6" s="170" t="s">
        <v>18</v>
      </c>
      <c r="AQ6" s="97"/>
      <c r="AR6" s="97"/>
      <c r="AS6" s="98"/>
      <c r="AT6" s="170" t="s">
        <v>19</v>
      </c>
      <c r="AU6" s="97"/>
      <c r="AV6" s="97"/>
      <c r="AW6" s="97"/>
      <c r="AX6" s="98"/>
      <c r="AY6" s="170" t="s">
        <v>20</v>
      </c>
      <c r="AZ6" s="97"/>
      <c r="BA6" s="97"/>
      <c r="BB6" s="98"/>
      <c r="BC6" s="171" t="s">
        <v>21</v>
      </c>
      <c r="BD6" s="97"/>
      <c r="BE6" s="97"/>
      <c r="BF6" s="98"/>
      <c r="BG6" s="1"/>
      <c r="BH6" s="1"/>
      <c r="BI6" s="1"/>
      <c r="BJ6" s="1"/>
      <c r="BK6" s="1"/>
      <c r="BL6" s="1"/>
    </row>
    <row r="7" spans="1:64" ht="14" thickBot="1" x14ac:dyDescent="0.2">
      <c r="A7" s="13"/>
      <c r="B7" s="14"/>
      <c r="C7" s="14"/>
      <c r="E7" s="11" t="s">
        <v>22</v>
      </c>
      <c r="F7" s="170" t="s">
        <v>23</v>
      </c>
      <c r="G7" s="97"/>
      <c r="H7" s="97"/>
      <c r="I7" s="98"/>
      <c r="J7" s="170" t="s">
        <v>24</v>
      </c>
      <c r="K7" s="97"/>
      <c r="L7" s="97"/>
      <c r="M7" s="98"/>
      <c r="N7" s="170" t="s">
        <v>25</v>
      </c>
      <c r="O7" s="97"/>
      <c r="P7" s="97"/>
      <c r="Q7" s="97"/>
      <c r="R7" s="98"/>
      <c r="S7" s="172" t="s">
        <v>26</v>
      </c>
      <c r="T7" s="173"/>
      <c r="U7" s="173"/>
      <c r="V7" s="173"/>
      <c r="W7" s="174"/>
      <c r="X7" s="170" t="s">
        <v>27</v>
      </c>
      <c r="Y7" s="97"/>
      <c r="Z7" s="97"/>
      <c r="AA7" s="98"/>
      <c r="AB7" s="170" t="s">
        <v>28</v>
      </c>
      <c r="AC7" s="97"/>
      <c r="AD7" s="97"/>
      <c r="AE7" s="98"/>
      <c r="AF7" s="170" t="s">
        <v>29</v>
      </c>
      <c r="AG7" s="97"/>
      <c r="AH7" s="97"/>
      <c r="AI7" s="97"/>
      <c r="AJ7" s="98"/>
      <c r="AK7" s="170" t="s">
        <v>30</v>
      </c>
      <c r="AL7" s="97"/>
      <c r="AM7" s="97"/>
      <c r="AN7" s="98"/>
      <c r="AO7" s="15" t="s">
        <v>31</v>
      </c>
      <c r="AP7" s="170" t="s">
        <v>31</v>
      </c>
      <c r="AQ7" s="97"/>
      <c r="AR7" s="97"/>
      <c r="AS7" s="98"/>
      <c r="AT7" s="170" t="s">
        <v>32</v>
      </c>
      <c r="AU7" s="97"/>
      <c r="AV7" s="97"/>
      <c r="AW7" s="97"/>
      <c r="AX7" s="98"/>
      <c r="AY7" s="170" t="s">
        <v>33</v>
      </c>
      <c r="AZ7" s="97"/>
      <c r="BA7" s="97"/>
      <c r="BB7" s="98"/>
      <c r="BC7" s="170" t="s">
        <v>34</v>
      </c>
      <c r="BD7" s="97"/>
      <c r="BE7" s="97"/>
      <c r="BF7" s="98"/>
      <c r="BG7" s="16"/>
      <c r="BH7" s="15" t="s">
        <v>35</v>
      </c>
      <c r="BI7" s="15" t="s">
        <v>36</v>
      </c>
      <c r="BK7" s="15" t="s">
        <v>37</v>
      </c>
      <c r="BL7" s="15" t="s">
        <v>36</v>
      </c>
    </row>
    <row r="8" spans="1:64" ht="14" thickBot="1" x14ac:dyDescent="0.2">
      <c r="A8" s="17"/>
      <c r="B8" s="17"/>
      <c r="C8" s="17"/>
      <c r="E8" s="18" t="s">
        <v>38</v>
      </c>
      <c r="F8" s="19">
        <v>4</v>
      </c>
      <c r="G8" s="19">
        <v>11</v>
      </c>
      <c r="H8" s="19">
        <v>18</v>
      </c>
      <c r="I8" s="19">
        <v>25</v>
      </c>
      <c r="J8" s="19">
        <v>2</v>
      </c>
      <c r="K8" s="19">
        <v>9</v>
      </c>
      <c r="L8" s="19">
        <v>16</v>
      </c>
      <c r="M8" s="19">
        <v>23</v>
      </c>
      <c r="N8" s="19">
        <v>30</v>
      </c>
      <c r="O8" s="19">
        <v>6</v>
      </c>
      <c r="P8" s="19">
        <v>13</v>
      </c>
      <c r="Q8" s="19">
        <v>20</v>
      </c>
      <c r="R8" s="19">
        <v>27</v>
      </c>
      <c r="S8" s="167">
        <v>3</v>
      </c>
      <c r="T8" s="98"/>
      <c r="U8" s="19">
        <v>10</v>
      </c>
      <c r="V8" s="19">
        <v>17</v>
      </c>
      <c r="W8" s="19">
        <v>24</v>
      </c>
      <c r="X8" s="19">
        <v>3</v>
      </c>
      <c r="Y8" s="63">
        <v>10</v>
      </c>
      <c r="Z8" s="63">
        <v>17</v>
      </c>
      <c r="AA8" s="63">
        <v>24</v>
      </c>
      <c r="AB8" s="65">
        <v>31</v>
      </c>
      <c r="AC8" s="63">
        <v>7</v>
      </c>
      <c r="AD8" s="64">
        <v>14</v>
      </c>
      <c r="AE8" s="63">
        <v>21</v>
      </c>
      <c r="AF8" s="65">
        <v>28</v>
      </c>
      <c r="AG8" s="63">
        <v>5</v>
      </c>
      <c r="AH8" s="63">
        <v>12</v>
      </c>
      <c r="AI8" s="19">
        <v>19</v>
      </c>
      <c r="AJ8" s="19">
        <v>26</v>
      </c>
      <c r="AK8" s="19">
        <v>2</v>
      </c>
      <c r="AL8" s="19">
        <v>9</v>
      </c>
      <c r="AM8" s="19">
        <v>16</v>
      </c>
      <c r="AN8" s="19">
        <v>23</v>
      </c>
      <c r="AO8" s="20">
        <v>30</v>
      </c>
      <c r="AP8" s="167">
        <v>7</v>
      </c>
      <c r="AQ8" s="98"/>
      <c r="AR8" s="19">
        <v>14</v>
      </c>
      <c r="AS8" s="19">
        <v>21</v>
      </c>
      <c r="AT8" s="19">
        <v>28</v>
      </c>
      <c r="AU8" s="19">
        <v>4</v>
      </c>
      <c r="AV8" s="19">
        <v>11</v>
      </c>
      <c r="AW8" s="19">
        <v>18</v>
      </c>
      <c r="AX8" s="19">
        <v>25</v>
      </c>
      <c r="AY8" s="19">
        <v>1</v>
      </c>
      <c r="AZ8" s="20">
        <v>8</v>
      </c>
      <c r="BA8" s="20">
        <v>15</v>
      </c>
      <c r="BB8" s="19">
        <v>22</v>
      </c>
      <c r="BC8" s="19">
        <v>29</v>
      </c>
      <c r="BD8" s="19">
        <v>6</v>
      </c>
      <c r="BE8" s="19">
        <v>13</v>
      </c>
      <c r="BF8" s="19">
        <v>20</v>
      </c>
      <c r="BG8" s="21"/>
      <c r="BH8" s="22"/>
      <c r="BI8" s="22"/>
      <c r="BK8" s="22"/>
      <c r="BL8" s="22"/>
    </row>
    <row r="9" spans="1:64" ht="18" x14ac:dyDescent="0.15">
      <c r="A9" s="23"/>
      <c r="B9" s="23"/>
      <c r="C9" s="23"/>
      <c r="E9" s="106" t="s">
        <v>39</v>
      </c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5"/>
      <c r="BG9" s="26"/>
      <c r="BH9" s="27"/>
      <c r="BI9" s="27"/>
      <c r="BK9" s="27"/>
      <c r="BL9" s="27"/>
    </row>
    <row r="10" spans="1:64" ht="19" thickBot="1" x14ac:dyDescent="0.2">
      <c r="A10" s="23"/>
      <c r="B10" s="23"/>
      <c r="C10" s="23"/>
      <c r="E10" s="107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3"/>
      <c r="S10" s="23"/>
      <c r="T10" s="23"/>
      <c r="U10" s="23"/>
      <c r="V10" s="23"/>
      <c r="W10" s="23"/>
      <c r="X10" s="168"/>
      <c r="Y10" s="104"/>
      <c r="Z10" s="104"/>
      <c r="AA10" s="104"/>
      <c r="AB10" s="169">
        <v>875000</v>
      </c>
      <c r="AC10" s="104"/>
      <c r="AD10" s="104"/>
      <c r="AE10" s="104"/>
      <c r="AF10" s="168"/>
      <c r="AG10" s="104"/>
      <c r="AH10" s="104"/>
      <c r="AI10" s="104"/>
      <c r="AJ10" s="104"/>
      <c r="AK10" s="23"/>
      <c r="AL10" s="23"/>
      <c r="AM10" s="23"/>
      <c r="AN10" s="23"/>
      <c r="AO10" s="28"/>
      <c r="AP10" s="28"/>
      <c r="AQ10" s="28"/>
      <c r="AR10" s="28"/>
      <c r="AS10" s="28"/>
      <c r="AT10" s="28"/>
      <c r="AU10" s="28"/>
      <c r="AV10" s="28"/>
      <c r="AW10" s="28"/>
      <c r="AX10" s="28"/>
      <c r="AY10" s="28"/>
      <c r="AZ10" s="28"/>
      <c r="BA10" s="28"/>
      <c r="BB10" s="28"/>
      <c r="BC10" s="28"/>
      <c r="BD10" s="28"/>
      <c r="BE10" s="28"/>
      <c r="BF10" s="29"/>
      <c r="BG10" s="26"/>
      <c r="BH10" s="27"/>
      <c r="BI10" s="27"/>
      <c r="BK10" s="27"/>
      <c r="BL10" s="27"/>
    </row>
    <row r="11" spans="1:64" ht="14" customHeight="1" thickBot="1" x14ac:dyDescent="0.2">
      <c r="A11" s="30" t="s">
        <v>40</v>
      </c>
      <c r="B11" s="30"/>
      <c r="C11" s="30"/>
      <c r="E11" s="31" t="s">
        <v>41</v>
      </c>
      <c r="F11" s="96">
        <v>0</v>
      </c>
      <c r="G11" s="97"/>
      <c r="H11" s="97"/>
      <c r="I11" s="98"/>
      <c r="J11" s="96">
        <v>0</v>
      </c>
      <c r="K11" s="97"/>
      <c r="L11" s="97"/>
      <c r="M11" s="98"/>
      <c r="N11" s="96">
        <v>0</v>
      </c>
      <c r="O11" s="97"/>
      <c r="P11" s="97"/>
      <c r="Q11" s="97"/>
      <c r="R11" s="98"/>
      <c r="S11" s="96">
        <v>0</v>
      </c>
      <c r="T11" s="97"/>
      <c r="U11" s="97"/>
      <c r="V11" s="97"/>
      <c r="W11" s="98"/>
      <c r="X11" s="96">
        <v>305634.15000000002</v>
      </c>
      <c r="Y11" s="97"/>
      <c r="Z11" s="97"/>
      <c r="AA11" s="98"/>
      <c r="AB11" s="96">
        <v>265083.71999999997</v>
      </c>
      <c r="AC11" s="97"/>
      <c r="AD11" s="97"/>
      <c r="AE11" s="98"/>
      <c r="AF11" s="96">
        <v>173708.26</v>
      </c>
      <c r="AG11" s="97"/>
      <c r="AH11" s="97"/>
      <c r="AI11" s="97"/>
      <c r="AJ11" s="98"/>
      <c r="AK11" s="96">
        <v>0</v>
      </c>
      <c r="AL11" s="97"/>
      <c r="AM11" s="97"/>
      <c r="AN11" s="98"/>
      <c r="AO11" s="81">
        <v>142483.37</v>
      </c>
      <c r="AP11" s="82"/>
      <c r="AQ11" s="82"/>
      <c r="AR11" s="82"/>
      <c r="AS11" s="83"/>
      <c r="AT11" s="96">
        <v>11113.54</v>
      </c>
      <c r="AU11" s="97"/>
      <c r="AV11" s="97"/>
      <c r="AW11" s="97"/>
      <c r="AX11" s="98"/>
      <c r="AY11" s="99">
        <f>69961.74+70008.6+4205</f>
        <v>144175.34000000003</v>
      </c>
      <c r="AZ11" s="100"/>
      <c r="BA11" s="100"/>
      <c r="BB11" s="101"/>
      <c r="BC11" s="99"/>
      <c r="BD11" s="100"/>
      <c r="BE11" s="100"/>
      <c r="BF11" s="101"/>
      <c r="BG11" s="32"/>
      <c r="BH11" s="33">
        <f>SUM(F11:BF11)</f>
        <v>1042198.3800000001</v>
      </c>
      <c r="BI11" s="34">
        <f>BH11/BH40</f>
        <v>0.31704032329037146</v>
      </c>
      <c r="BK11" s="33" t="e">
        <f>BH11-#REF!</f>
        <v>#REF!</v>
      </c>
      <c r="BL11" s="34" t="e">
        <f>BK11/#REF!</f>
        <v>#REF!</v>
      </c>
    </row>
    <row r="12" spans="1:64" ht="15" thickBot="1" x14ac:dyDescent="0.2">
      <c r="A12" s="30"/>
      <c r="B12" s="30"/>
      <c r="C12" s="30"/>
      <c r="E12" s="31" t="s">
        <v>42</v>
      </c>
      <c r="F12" s="96">
        <f>2422.5+1989</f>
        <v>4411.5</v>
      </c>
      <c r="G12" s="97"/>
      <c r="H12" s="97"/>
      <c r="I12" s="98"/>
      <c r="J12" s="96">
        <v>0</v>
      </c>
      <c r="K12" s="97"/>
      <c r="L12" s="97"/>
      <c r="M12" s="98"/>
      <c r="N12" s="96">
        <v>0</v>
      </c>
      <c r="O12" s="97"/>
      <c r="P12" s="97"/>
      <c r="Q12" s="97"/>
      <c r="R12" s="98"/>
      <c r="S12" s="96">
        <f>88301.47</f>
        <v>88301.47</v>
      </c>
      <c r="T12" s="97"/>
      <c r="U12" s="97"/>
      <c r="V12" s="97"/>
      <c r="W12" s="98"/>
      <c r="X12" s="96">
        <v>3653.8</v>
      </c>
      <c r="Y12" s="97"/>
      <c r="Z12" s="97"/>
      <c r="AA12" s="98"/>
      <c r="AB12" s="96">
        <v>148859.51999999999</v>
      </c>
      <c r="AC12" s="97"/>
      <c r="AD12" s="97"/>
      <c r="AE12" s="98"/>
      <c r="AF12" s="96">
        <v>149745.42000000001</v>
      </c>
      <c r="AG12" s="97"/>
      <c r="AH12" s="97"/>
      <c r="AI12" s="97"/>
      <c r="AJ12" s="98"/>
      <c r="AK12" s="96">
        <v>145408.57</v>
      </c>
      <c r="AL12" s="97"/>
      <c r="AM12" s="97"/>
      <c r="AN12" s="98"/>
      <c r="AO12" s="81">
        <v>162927.32999999999</v>
      </c>
      <c r="AP12" s="82"/>
      <c r="AQ12" s="82"/>
      <c r="AR12" s="82"/>
      <c r="AS12" s="83"/>
      <c r="AT12" s="96">
        <v>66588.53</v>
      </c>
      <c r="AU12" s="97"/>
      <c r="AV12" s="97"/>
      <c r="AW12" s="97"/>
      <c r="AX12" s="98"/>
      <c r="AY12" s="99">
        <f>3712+2240</f>
        <v>5952</v>
      </c>
      <c r="AZ12" s="100"/>
      <c r="BA12" s="100"/>
      <c r="BB12" s="101"/>
      <c r="BC12" s="99">
        <v>60982.54</v>
      </c>
      <c r="BD12" s="100"/>
      <c r="BE12" s="100"/>
      <c r="BF12" s="101"/>
      <c r="BG12" s="32"/>
      <c r="BH12" s="33">
        <f t="shared" ref="BH12:BH15" si="0">SUM(F12:BF12)</f>
        <v>836830.68</v>
      </c>
      <c r="BI12" s="34">
        <f>BH12/BH40</f>
        <v>0.25456676427236569</v>
      </c>
      <c r="BK12" s="33" t="e">
        <f>BH12-#REF!</f>
        <v>#REF!</v>
      </c>
      <c r="BL12" s="34" t="e">
        <f>BK12/#REF!</f>
        <v>#REF!</v>
      </c>
    </row>
    <row r="13" spans="1:64" ht="15" thickBot="1" x14ac:dyDescent="0.2">
      <c r="A13" s="35"/>
      <c r="B13" s="35"/>
      <c r="C13" s="35"/>
      <c r="E13" s="36" t="s">
        <v>43</v>
      </c>
      <c r="F13" s="96">
        <v>0</v>
      </c>
      <c r="G13" s="97"/>
      <c r="H13" s="97"/>
      <c r="I13" s="98"/>
      <c r="J13" s="96">
        <v>0</v>
      </c>
      <c r="K13" s="97"/>
      <c r="L13" s="97"/>
      <c r="M13" s="98"/>
      <c r="N13" s="96">
        <v>68408.03</v>
      </c>
      <c r="O13" s="97"/>
      <c r="P13" s="97"/>
      <c r="Q13" s="97"/>
      <c r="R13" s="98"/>
      <c r="S13" s="96">
        <v>3555</v>
      </c>
      <c r="T13" s="97"/>
      <c r="U13" s="97"/>
      <c r="V13" s="97"/>
      <c r="W13" s="98"/>
      <c r="X13" s="96">
        <v>42641</v>
      </c>
      <c r="Y13" s="97"/>
      <c r="Z13" s="97"/>
      <c r="AA13" s="98"/>
      <c r="AB13" s="96">
        <v>0</v>
      </c>
      <c r="AC13" s="97"/>
      <c r="AD13" s="97"/>
      <c r="AE13" s="98"/>
      <c r="AF13" s="166">
        <v>31617</v>
      </c>
      <c r="AG13" s="97"/>
      <c r="AH13" s="97"/>
      <c r="AI13" s="97"/>
      <c r="AJ13" s="98"/>
      <c r="AK13" s="96">
        <v>32379</v>
      </c>
      <c r="AL13" s="97"/>
      <c r="AM13" s="97"/>
      <c r="AN13" s="98"/>
      <c r="AO13" s="81">
        <v>0</v>
      </c>
      <c r="AP13" s="82"/>
      <c r="AQ13" s="82"/>
      <c r="AR13" s="82"/>
      <c r="AS13" s="83"/>
      <c r="AT13" s="96">
        <v>9153</v>
      </c>
      <c r="AU13" s="97"/>
      <c r="AV13" s="97"/>
      <c r="AW13" s="97"/>
      <c r="AX13" s="98"/>
      <c r="AY13" s="99">
        <v>0</v>
      </c>
      <c r="AZ13" s="100"/>
      <c r="BA13" s="100"/>
      <c r="BB13" s="101"/>
      <c r="BC13" s="99"/>
      <c r="BD13" s="100"/>
      <c r="BE13" s="100"/>
      <c r="BF13" s="101"/>
      <c r="BG13" s="32"/>
      <c r="BH13" s="33">
        <f t="shared" si="0"/>
        <v>187753.03</v>
      </c>
      <c r="BI13" s="34">
        <f>BH13/BH40</f>
        <v>5.7115115962804323E-2</v>
      </c>
      <c r="BK13" s="33" t="e">
        <f>BH13-#REF!</f>
        <v>#REF!</v>
      </c>
      <c r="BL13" s="34" t="e">
        <f>BK13/#REF!</f>
        <v>#REF!</v>
      </c>
    </row>
    <row r="14" spans="1:64" ht="15" thickBot="1" x14ac:dyDescent="0.2">
      <c r="A14" s="35"/>
      <c r="B14" s="35"/>
      <c r="C14" s="35"/>
      <c r="E14" s="36" t="s">
        <v>44</v>
      </c>
      <c r="F14" s="96">
        <v>0</v>
      </c>
      <c r="G14" s="97"/>
      <c r="H14" s="97"/>
      <c r="I14" s="98"/>
      <c r="J14" s="96">
        <v>0</v>
      </c>
      <c r="K14" s="97"/>
      <c r="L14" s="97"/>
      <c r="M14" s="98"/>
      <c r="N14" s="96">
        <v>0</v>
      </c>
      <c r="O14" s="97"/>
      <c r="P14" s="97"/>
      <c r="Q14" s="97"/>
      <c r="R14" s="98"/>
      <c r="S14" s="96">
        <v>0</v>
      </c>
      <c r="T14" s="97"/>
      <c r="U14" s="97"/>
      <c r="V14" s="97"/>
      <c r="W14" s="98"/>
      <c r="X14" s="96">
        <v>0</v>
      </c>
      <c r="Y14" s="97"/>
      <c r="Z14" s="97"/>
      <c r="AA14" s="98"/>
      <c r="AB14" s="96">
        <v>0</v>
      </c>
      <c r="AC14" s="97"/>
      <c r="AD14" s="97"/>
      <c r="AE14" s="98"/>
      <c r="AF14" s="96">
        <v>0</v>
      </c>
      <c r="AG14" s="97"/>
      <c r="AH14" s="97"/>
      <c r="AI14" s="97"/>
      <c r="AJ14" s="98"/>
      <c r="AK14" s="96">
        <v>0</v>
      </c>
      <c r="AL14" s="97"/>
      <c r="AM14" s="97"/>
      <c r="AN14" s="98"/>
      <c r="AO14" s="81">
        <v>0</v>
      </c>
      <c r="AP14" s="82"/>
      <c r="AQ14" s="82"/>
      <c r="AR14" s="82"/>
      <c r="AS14" s="83"/>
      <c r="AT14" s="96"/>
      <c r="AU14" s="97"/>
      <c r="AV14" s="97"/>
      <c r="AW14" s="97"/>
      <c r="AX14" s="98"/>
      <c r="AY14" s="99">
        <v>0</v>
      </c>
      <c r="AZ14" s="100"/>
      <c r="BA14" s="100"/>
      <c r="BB14" s="101"/>
      <c r="BC14" s="99"/>
      <c r="BD14" s="100"/>
      <c r="BE14" s="100"/>
      <c r="BF14" s="101"/>
      <c r="BG14" s="32"/>
      <c r="BH14" s="37">
        <f t="shared" si="0"/>
        <v>0</v>
      </c>
      <c r="BI14" s="38">
        <f>BH14/BH41</f>
        <v>0</v>
      </c>
      <c r="BK14" s="33">
        <v>0</v>
      </c>
      <c r="BL14" s="34" t="e">
        <f>BK14/#REF!</f>
        <v>#REF!</v>
      </c>
    </row>
    <row r="15" spans="1:64" ht="32.25" customHeight="1" thickBot="1" x14ac:dyDescent="0.25">
      <c r="A15" s="39"/>
      <c r="B15" s="39"/>
      <c r="C15" s="39"/>
      <c r="E15" s="40" t="s">
        <v>45</v>
      </c>
      <c r="F15" s="148">
        <f>F14+F13+F12+F11</f>
        <v>4411.5</v>
      </c>
      <c r="G15" s="97"/>
      <c r="H15" s="97"/>
      <c r="I15" s="98"/>
      <c r="J15" s="165">
        <f>J14+J13+J12+J11</f>
        <v>0</v>
      </c>
      <c r="K15" s="97"/>
      <c r="L15" s="97"/>
      <c r="M15" s="98"/>
      <c r="N15" s="165">
        <f>N14+N13+N12+N11</f>
        <v>68408.03</v>
      </c>
      <c r="O15" s="97"/>
      <c r="P15" s="97"/>
      <c r="Q15" s="97"/>
      <c r="R15" s="98"/>
      <c r="S15" s="165">
        <f>S14+S13+S12+S11</f>
        <v>91856.47</v>
      </c>
      <c r="T15" s="97"/>
      <c r="U15" s="97"/>
      <c r="V15" s="97"/>
      <c r="W15" s="98"/>
      <c r="X15" s="165">
        <f>X14+X13+X12+X11</f>
        <v>351928.95</v>
      </c>
      <c r="Y15" s="97"/>
      <c r="Z15" s="97"/>
      <c r="AA15" s="98"/>
      <c r="AB15" s="165">
        <f>AB14+AB13+AB12+AB11</f>
        <v>413943.24</v>
      </c>
      <c r="AC15" s="97"/>
      <c r="AD15" s="97"/>
      <c r="AE15" s="98"/>
      <c r="AF15" s="165">
        <f>AF11+AF12+AF13+AF14</f>
        <v>355070.68000000005</v>
      </c>
      <c r="AG15" s="97"/>
      <c r="AH15" s="97"/>
      <c r="AI15" s="97"/>
      <c r="AJ15" s="98"/>
      <c r="AK15" s="165">
        <f>AK14+AK13+AK12+AK11</f>
        <v>177787.57</v>
      </c>
      <c r="AL15" s="97"/>
      <c r="AM15" s="97"/>
      <c r="AN15" s="98"/>
      <c r="AO15" s="161">
        <f>AO11+AO12+AO13+AO14</f>
        <v>305410.69999999995</v>
      </c>
      <c r="AP15" s="162"/>
      <c r="AQ15" s="162"/>
      <c r="AR15" s="162"/>
      <c r="AS15" s="163"/>
      <c r="AT15" s="161">
        <f>AT11+AT12+AT13</f>
        <v>86855.07</v>
      </c>
      <c r="AU15" s="162"/>
      <c r="AV15" s="162"/>
      <c r="AW15" s="162"/>
      <c r="AX15" s="163"/>
      <c r="AY15" s="164">
        <f>AY11+AY12</f>
        <v>150127.34000000003</v>
      </c>
      <c r="AZ15" s="100"/>
      <c r="BA15" s="100"/>
      <c r="BB15" s="101"/>
      <c r="BC15" s="164">
        <f>BC11+BC13+BC14+BC12</f>
        <v>60982.54</v>
      </c>
      <c r="BD15" s="100"/>
      <c r="BE15" s="100"/>
      <c r="BF15" s="101"/>
      <c r="BG15" s="32"/>
      <c r="BH15" s="33">
        <f t="shared" si="0"/>
        <v>2066782.0900000003</v>
      </c>
      <c r="BI15" s="34">
        <f>BH15/BH40</f>
        <v>0.62872220352554153</v>
      </c>
      <c r="BK15" s="33" t="e">
        <f>BK11+BK12+BK13</f>
        <v>#REF!</v>
      </c>
      <c r="BL15" s="34" t="e">
        <f>BK15/#REF!</f>
        <v>#REF!</v>
      </c>
    </row>
    <row r="16" spans="1:64" ht="15.75" customHeight="1" thickBot="1" x14ac:dyDescent="0.3">
      <c r="A16" s="41"/>
      <c r="B16" s="41"/>
      <c r="C16" s="41"/>
      <c r="E16" s="41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74"/>
      <c r="AZ16" s="74"/>
      <c r="BA16" s="74"/>
      <c r="BB16" s="74"/>
      <c r="BC16" s="74"/>
      <c r="BD16" s="74"/>
      <c r="BE16" s="74"/>
      <c r="BF16" s="74"/>
      <c r="BG16" s="32"/>
      <c r="BH16" s="42">
        <f>BH15</f>
        <v>2066782.0900000003</v>
      </c>
      <c r="BI16" s="43">
        <f>BH16/BH44</f>
        <v>0.54499810522652403</v>
      </c>
      <c r="BJ16" s="32"/>
      <c r="BK16" s="32"/>
      <c r="BL16" s="32"/>
    </row>
    <row r="17" spans="1:64" ht="18" x14ac:dyDescent="0.2">
      <c r="A17" s="44"/>
      <c r="B17" s="44"/>
      <c r="C17" s="44"/>
      <c r="E17" s="106" t="s">
        <v>46</v>
      </c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75"/>
      <c r="AZ17" s="75"/>
      <c r="BA17" s="75"/>
      <c r="BB17" s="75"/>
      <c r="BC17" s="75"/>
      <c r="BD17" s="75"/>
      <c r="BE17" s="75"/>
      <c r="BF17" s="76"/>
      <c r="BG17" s="16"/>
      <c r="BH17" s="16"/>
      <c r="BI17" s="16"/>
      <c r="BJ17" s="16"/>
      <c r="BK17" s="16"/>
      <c r="BL17" s="16"/>
    </row>
    <row r="18" spans="1:64" ht="19" thickBot="1" x14ac:dyDescent="0.25">
      <c r="A18" s="44"/>
      <c r="B18" s="44"/>
      <c r="C18" s="44"/>
      <c r="E18" s="107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28"/>
      <c r="AV18" s="28"/>
      <c r="AW18" s="28"/>
      <c r="AX18" s="28"/>
      <c r="AY18" s="77"/>
      <c r="AZ18" s="77"/>
      <c r="BA18" s="77"/>
      <c r="BB18" s="77"/>
      <c r="BC18" s="77"/>
      <c r="BD18" s="77"/>
      <c r="BE18" s="77"/>
      <c r="BF18" s="78"/>
      <c r="BG18" s="16"/>
      <c r="BH18" s="16"/>
      <c r="BI18" s="16"/>
      <c r="BJ18" s="16"/>
      <c r="BK18" s="16"/>
      <c r="BL18" s="16"/>
    </row>
    <row r="19" spans="1:64" ht="15" thickBot="1" x14ac:dyDescent="0.2">
      <c r="A19" s="45"/>
      <c r="B19" s="45"/>
      <c r="C19" s="45"/>
      <c r="E19" s="31" t="s">
        <v>47</v>
      </c>
      <c r="F19" s="96">
        <v>15950</v>
      </c>
      <c r="G19" s="97"/>
      <c r="H19" s="97"/>
      <c r="I19" s="98"/>
      <c r="J19" s="96">
        <v>12350</v>
      </c>
      <c r="K19" s="97"/>
      <c r="L19" s="97"/>
      <c r="M19" s="98"/>
      <c r="N19" s="96">
        <v>12350</v>
      </c>
      <c r="O19" s="97"/>
      <c r="P19" s="97"/>
      <c r="Q19" s="97"/>
      <c r="R19" s="98"/>
      <c r="S19" s="96">
        <v>16000</v>
      </c>
      <c r="T19" s="97"/>
      <c r="U19" s="97"/>
      <c r="V19" s="97"/>
      <c r="W19" s="98"/>
      <c r="X19" s="96">
        <v>0</v>
      </c>
      <c r="Y19" s="97"/>
      <c r="Z19" s="97"/>
      <c r="AA19" s="98"/>
      <c r="AB19" s="96">
        <v>38270.57</v>
      </c>
      <c r="AC19" s="97"/>
      <c r="AD19" s="97"/>
      <c r="AE19" s="98"/>
      <c r="AF19" s="96">
        <v>30000</v>
      </c>
      <c r="AG19" s="97"/>
      <c r="AH19" s="97"/>
      <c r="AI19" s="97"/>
      <c r="AJ19" s="98"/>
      <c r="AK19" s="96">
        <v>0</v>
      </c>
      <c r="AL19" s="97"/>
      <c r="AM19" s="97"/>
      <c r="AN19" s="98"/>
      <c r="AO19" s="81">
        <v>48118.31</v>
      </c>
      <c r="AP19" s="82"/>
      <c r="AQ19" s="82"/>
      <c r="AR19" s="82"/>
      <c r="AS19" s="83"/>
      <c r="AT19" s="96">
        <v>1881.69</v>
      </c>
      <c r="AU19" s="97"/>
      <c r="AV19" s="97"/>
      <c r="AW19" s="97"/>
      <c r="AX19" s="98"/>
      <c r="AY19" s="99">
        <v>0</v>
      </c>
      <c r="AZ19" s="100"/>
      <c r="BA19" s="100"/>
      <c r="BB19" s="101"/>
      <c r="BC19" s="99"/>
      <c r="BD19" s="100"/>
      <c r="BE19" s="100"/>
      <c r="BF19" s="101"/>
      <c r="BG19" s="32"/>
      <c r="BH19" s="33">
        <f t="shared" ref="BH19:BH31" si="1">SUM(F19:BF19)</f>
        <v>174920.57</v>
      </c>
      <c r="BI19" s="46">
        <f>BH19/BH40</f>
        <v>5.3211437598795777E-2</v>
      </c>
      <c r="BK19" s="33" t="e">
        <f>BH19-#REF!</f>
        <v>#REF!</v>
      </c>
      <c r="BL19" s="34" t="e">
        <f>BK19/BK40</f>
        <v>#REF!</v>
      </c>
    </row>
    <row r="20" spans="1:64" ht="15" thickBot="1" x14ac:dyDescent="0.2">
      <c r="A20" s="47"/>
      <c r="B20" s="47"/>
      <c r="C20" s="47"/>
      <c r="E20" s="31" t="s">
        <v>48</v>
      </c>
      <c r="F20" s="96">
        <v>0</v>
      </c>
      <c r="G20" s="97"/>
      <c r="H20" s="97"/>
      <c r="I20" s="98"/>
      <c r="J20" s="96">
        <v>0</v>
      </c>
      <c r="K20" s="97"/>
      <c r="L20" s="97"/>
      <c r="M20" s="98"/>
      <c r="N20" s="96">
        <v>0</v>
      </c>
      <c r="O20" s="97"/>
      <c r="P20" s="97"/>
      <c r="Q20" s="97"/>
      <c r="R20" s="98"/>
      <c r="S20" s="96">
        <v>8499.98</v>
      </c>
      <c r="T20" s="97"/>
      <c r="U20" s="97"/>
      <c r="V20" s="97"/>
      <c r="W20" s="98"/>
      <c r="X20" s="96">
        <v>0</v>
      </c>
      <c r="Y20" s="97"/>
      <c r="Z20" s="97"/>
      <c r="AA20" s="98"/>
      <c r="AB20" s="96">
        <v>9860</v>
      </c>
      <c r="AC20" s="97"/>
      <c r="AD20" s="97"/>
      <c r="AE20" s="98"/>
      <c r="AF20" s="96">
        <v>8840</v>
      </c>
      <c r="AG20" s="97"/>
      <c r="AH20" s="97"/>
      <c r="AI20" s="97"/>
      <c r="AJ20" s="98"/>
      <c r="AK20" s="96">
        <v>9350</v>
      </c>
      <c r="AL20" s="97"/>
      <c r="AM20" s="97"/>
      <c r="AN20" s="98"/>
      <c r="AO20" s="81">
        <v>0</v>
      </c>
      <c r="AP20" s="82"/>
      <c r="AQ20" s="82"/>
      <c r="AR20" s="82"/>
      <c r="AS20" s="83"/>
      <c r="AT20" s="96">
        <v>6799.99</v>
      </c>
      <c r="AU20" s="97"/>
      <c r="AV20" s="97"/>
      <c r="AW20" s="97"/>
      <c r="AX20" s="98"/>
      <c r="AY20" s="99">
        <v>0</v>
      </c>
      <c r="AZ20" s="100"/>
      <c r="BA20" s="100"/>
      <c r="BB20" s="101"/>
      <c r="BC20" s="99">
        <v>7650</v>
      </c>
      <c r="BD20" s="100"/>
      <c r="BE20" s="100"/>
      <c r="BF20" s="101"/>
      <c r="BG20" s="32"/>
      <c r="BH20" s="33">
        <f t="shared" si="1"/>
        <v>50999.969999999994</v>
      </c>
      <c r="BI20" s="46">
        <f>BH20/BH40</f>
        <v>1.5514365870151557E-2</v>
      </c>
      <c r="BK20" s="33" t="e">
        <f>BH20-#REF!</f>
        <v>#REF!</v>
      </c>
      <c r="BL20" s="34"/>
    </row>
    <row r="21" spans="1:64" ht="15" thickBot="1" x14ac:dyDescent="0.2">
      <c r="A21" s="47"/>
      <c r="B21" s="47"/>
      <c r="C21" s="47"/>
      <c r="E21" s="31" t="s">
        <v>49</v>
      </c>
      <c r="F21" s="96">
        <v>0</v>
      </c>
      <c r="G21" s="97"/>
      <c r="H21" s="97"/>
      <c r="I21" s="98"/>
      <c r="J21" s="96">
        <v>0</v>
      </c>
      <c r="K21" s="97"/>
      <c r="L21" s="97"/>
      <c r="M21" s="98"/>
      <c r="N21" s="96">
        <v>0</v>
      </c>
      <c r="O21" s="97"/>
      <c r="P21" s="97"/>
      <c r="Q21" s="97"/>
      <c r="R21" s="98"/>
      <c r="S21" s="96">
        <v>0</v>
      </c>
      <c r="T21" s="97"/>
      <c r="U21" s="97"/>
      <c r="V21" s="97"/>
      <c r="W21" s="98"/>
      <c r="X21" s="96">
        <v>0</v>
      </c>
      <c r="Y21" s="97"/>
      <c r="Z21" s="97"/>
      <c r="AA21" s="98"/>
      <c r="AB21" s="96">
        <v>0</v>
      </c>
      <c r="AC21" s="97"/>
      <c r="AD21" s="97"/>
      <c r="AE21" s="98"/>
      <c r="AF21" s="96">
        <v>0</v>
      </c>
      <c r="AG21" s="97"/>
      <c r="AH21" s="97"/>
      <c r="AI21" s="97"/>
      <c r="AJ21" s="98"/>
      <c r="AK21" s="96">
        <v>0</v>
      </c>
      <c r="AL21" s="97"/>
      <c r="AM21" s="97"/>
      <c r="AN21" s="98"/>
      <c r="AO21" s="81">
        <v>0</v>
      </c>
      <c r="AP21" s="82"/>
      <c r="AQ21" s="82"/>
      <c r="AR21" s="82"/>
      <c r="AS21" s="83"/>
      <c r="AT21" s="96"/>
      <c r="AU21" s="97"/>
      <c r="AV21" s="97"/>
      <c r="AW21" s="97"/>
      <c r="AX21" s="98"/>
      <c r="AY21" s="99">
        <v>0</v>
      </c>
      <c r="AZ21" s="100"/>
      <c r="BA21" s="100"/>
      <c r="BB21" s="101"/>
      <c r="BC21" s="99"/>
      <c r="BD21" s="100"/>
      <c r="BE21" s="100"/>
      <c r="BF21" s="101"/>
      <c r="BG21" s="32"/>
      <c r="BH21" s="33">
        <f t="shared" si="1"/>
        <v>0</v>
      </c>
      <c r="BI21" s="46">
        <f>BH21/BH40</f>
        <v>0</v>
      </c>
      <c r="BK21" s="33" t="e">
        <f>BH21-#REF!</f>
        <v>#REF!</v>
      </c>
      <c r="BL21" s="34"/>
    </row>
    <row r="22" spans="1:64" ht="15" thickBot="1" x14ac:dyDescent="0.2">
      <c r="A22" s="47"/>
      <c r="B22" s="47"/>
      <c r="C22" s="47"/>
      <c r="E22" s="31" t="s">
        <v>50</v>
      </c>
      <c r="F22" s="96">
        <v>0</v>
      </c>
      <c r="G22" s="97"/>
      <c r="H22" s="97"/>
      <c r="I22" s="98"/>
      <c r="J22" s="96">
        <v>0</v>
      </c>
      <c r="K22" s="97"/>
      <c r="L22" s="97"/>
      <c r="M22" s="98"/>
      <c r="N22" s="96">
        <v>0</v>
      </c>
      <c r="O22" s="97"/>
      <c r="P22" s="97"/>
      <c r="Q22" s="97"/>
      <c r="R22" s="98"/>
      <c r="S22" s="96">
        <v>0</v>
      </c>
      <c r="T22" s="97"/>
      <c r="U22" s="97"/>
      <c r="V22" s="97"/>
      <c r="W22" s="98"/>
      <c r="X22" s="96">
        <v>0</v>
      </c>
      <c r="Y22" s="97"/>
      <c r="Z22" s="97"/>
      <c r="AA22" s="98"/>
      <c r="AB22" s="96">
        <v>23000</v>
      </c>
      <c r="AC22" s="97"/>
      <c r="AD22" s="97"/>
      <c r="AE22" s="98"/>
      <c r="AF22" s="96">
        <v>10500</v>
      </c>
      <c r="AG22" s="97"/>
      <c r="AH22" s="97"/>
      <c r="AI22" s="97"/>
      <c r="AJ22" s="98"/>
      <c r="AK22" s="96">
        <v>0</v>
      </c>
      <c r="AL22" s="97"/>
      <c r="AM22" s="97"/>
      <c r="AN22" s="98"/>
      <c r="AO22" s="81">
        <v>0</v>
      </c>
      <c r="AP22" s="82"/>
      <c r="AQ22" s="82"/>
      <c r="AR22" s="82"/>
      <c r="AS22" s="83"/>
      <c r="AT22" s="96"/>
      <c r="AU22" s="97"/>
      <c r="AV22" s="97"/>
      <c r="AW22" s="97"/>
      <c r="AX22" s="98"/>
      <c r="AY22" s="99">
        <v>0</v>
      </c>
      <c r="AZ22" s="100"/>
      <c r="BA22" s="100"/>
      <c r="BB22" s="101"/>
      <c r="BC22" s="99"/>
      <c r="BD22" s="100"/>
      <c r="BE22" s="100"/>
      <c r="BF22" s="101"/>
      <c r="BG22" s="32"/>
      <c r="BH22" s="33">
        <f t="shared" si="1"/>
        <v>33500</v>
      </c>
      <c r="BI22" s="46">
        <f>BH22/BH40</f>
        <v>1.0190814948520111E-2</v>
      </c>
      <c r="BK22" s="33" t="e">
        <f>BH22-#REF!</f>
        <v>#REF!</v>
      </c>
      <c r="BL22" s="34"/>
    </row>
    <row r="23" spans="1:64" ht="15" thickBot="1" x14ac:dyDescent="0.2">
      <c r="A23" s="47"/>
      <c r="B23" s="47"/>
      <c r="C23" s="47"/>
      <c r="E23" s="31" t="s">
        <v>51</v>
      </c>
      <c r="F23" s="96">
        <v>0</v>
      </c>
      <c r="G23" s="97"/>
      <c r="H23" s="97"/>
      <c r="I23" s="98"/>
      <c r="J23" s="96">
        <v>0</v>
      </c>
      <c r="K23" s="97"/>
      <c r="L23" s="97"/>
      <c r="M23" s="98"/>
      <c r="N23" s="96">
        <v>0</v>
      </c>
      <c r="O23" s="97"/>
      <c r="P23" s="97"/>
      <c r="Q23" s="97"/>
      <c r="R23" s="98"/>
      <c r="S23" s="96">
        <v>0</v>
      </c>
      <c r="T23" s="97"/>
      <c r="U23" s="97"/>
      <c r="V23" s="97"/>
      <c r="W23" s="98"/>
      <c r="X23" s="96">
        <f>16896</f>
        <v>16896</v>
      </c>
      <c r="Y23" s="97"/>
      <c r="Z23" s="97"/>
      <c r="AA23" s="98"/>
      <c r="AB23" s="96">
        <f>3496.9+12714.16+8250+7800</f>
        <v>32261.059999999998</v>
      </c>
      <c r="AC23" s="97"/>
      <c r="AD23" s="97"/>
      <c r="AE23" s="98"/>
      <c r="AF23" s="96">
        <f>10910.09+7800+5717.84</f>
        <v>24427.93</v>
      </c>
      <c r="AG23" s="97"/>
      <c r="AH23" s="97"/>
      <c r="AI23" s="97"/>
      <c r="AJ23" s="98"/>
      <c r="AK23" s="96">
        <f>4217.01+7800</f>
        <v>12017.01</v>
      </c>
      <c r="AL23" s="97"/>
      <c r="AM23" s="97"/>
      <c r="AN23" s="98"/>
      <c r="AO23" s="81">
        <v>7800</v>
      </c>
      <c r="AP23" s="82"/>
      <c r="AQ23" s="82"/>
      <c r="AR23" s="82"/>
      <c r="AS23" s="83"/>
      <c r="AT23" s="96"/>
      <c r="AU23" s="97"/>
      <c r="AV23" s="97"/>
      <c r="AW23" s="97"/>
      <c r="AX23" s="98"/>
      <c r="AY23" s="99">
        <v>0</v>
      </c>
      <c r="AZ23" s="100"/>
      <c r="BA23" s="100"/>
      <c r="BB23" s="101"/>
      <c r="BC23" s="99"/>
      <c r="BD23" s="100"/>
      <c r="BE23" s="100"/>
      <c r="BF23" s="101"/>
      <c r="BG23" s="32"/>
      <c r="BH23" s="33">
        <f t="shared" si="1"/>
        <v>93401.999999999985</v>
      </c>
      <c r="BI23" s="46">
        <f>BH23/BH40</f>
        <v>2.8413208890199264E-2</v>
      </c>
      <c r="BK23" s="33" t="e">
        <f>BH23-#REF!</f>
        <v>#REF!</v>
      </c>
      <c r="BL23" s="34" t="e">
        <f>BK23/BK40</f>
        <v>#REF!</v>
      </c>
    </row>
    <row r="24" spans="1:64" ht="15" thickBot="1" x14ac:dyDescent="0.2">
      <c r="A24" s="30" t="s">
        <v>40</v>
      </c>
      <c r="B24" s="45"/>
      <c r="C24" s="45"/>
      <c r="E24" s="31" t="s">
        <v>52</v>
      </c>
      <c r="F24" s="96">
        <v>25173.17</v>
      </c>
      <c r="G24" s="97"/>
      <c r="H24" s="97"/>
      <c r="I24" s="98"/>
      <c r="J24" s="96">
        <v>18444.72</v>
      </c>
      <c r="K24" s="97"/>
      <c r="L24" s="97"/>
      <c r="M24" s="98"/>
      <c r="N24" s="96">
        <v>20949.580000000002</v>
      </c>
      <c r="O24" s="97"/>
      <c r="P24" s="97"/>
      <c r="Q24" s="97"/>
      <c r="R24" s="98"/>
      <c r="S24" s="96">
        <v>17188.740000000002</v>
      </c>
      <c r="T24" s="97"/>
      <c r="U24" s="97"/>
      <c r="V24" s="97"/>
      <c r="W24" s="98"/>
      <c r="X24" s="96">
        <v>25581.47</v>
      </c>
      <c r="Y24" s="97"/>
      <c r="Z24" s="97"/>
      <c r="AA24" s="98"/>
      <c r="AB24" s="96">
        <f>21645.81</f>
        <v>21645.81</v>
      </c>
      <c r="AC24" s="97"/>
      <c r="AD24" s="97"/>
      <c r="AE24" s="98"/>
      <c r="AF24" s="96">
        <v>24419.33</v>
      </c>
      <c r="AG24" s="97"/>
      <c r="AH24" s="97"/>
      <c r="AI24" s="97"/>
      <c r="AJ24" s="98"/>
      <c r="AK24" s="96">
        <v>25629.78</v>
      </c>
      <c r="AL24" s="97"/>
      <c r="AM24" s="97"/>
      <c r="AN24" s="98"/>
      <c r="AO24" s="81">
        <v>18502.099999999999</v>
      </c>
      <c r="AP24" s="82"/>
      <c r="AQ24" s="82"/>
      <c r="AR24" s="82"/>
      <c r="AS24" s="83"/>
      <c r="AT24" s="96">
        <v>19529.79</v>
      </c>
      <c r="AU24" s="97"/>
      <c r="AV24" s="97"/>
      <c r="AW24" s="97"/>
      <c r="AX24" s="98"/>
      <c r="AY24" s="99">
        <v>5000</v>
      </c>
      <c r="AZ24" s="100"/>
      <c r="BA24" s="100"/>
      <c r="BB24" s="101"/>
      <c r="BC24" s="99">
        <v>0</v>
      </c>
      <c r="BD24" s="100"/>
      <c r="BE24" s="100"/>
      <c r="BF24" s="101"/>
      <c r="BG24" s="32"/>
      <c r="BH24" s="33">
        <f t="shared" si="1"/>
        <v>222064.49000000002</v>
      </c>
      <c r="BI24" s="46">
        <f>BH24/BH40</f>
        <v>6.7552779827686413E-2</v>
      </c>
      <c r="BK24" s="33" t="e">
        <f>BH24-#REF!</f>
        <v>#REF!</v>
      </c>
      <c r="BL24" s="34" t="e">
        <f>BK24/BK40</f>
        <v>#REF!</v>
      </c>
    </row>
    <row r="25" spans="1:64" ht="15" thickBot="1" x14ac:dyDescent="0.2">
      <c r="A25" s="30"/>
      <c r="B25" s="30"/>
      <c r="C25" s="45"/>
      <c r="E25" s="48" t="s">
        <v>53</v>
      </c>
      <c r="F25" s="96">
        <v>0</v>
      </c>
      <c r="G25" s="97"/>
      <c r="H25" s="97"/>
      <c r="I25" s="98"/>
      <c r="J25" s="96">
        <v>0</v>
      </c>
      <c r="K25" s="97"/>
      <c r="L25" s="97"/>
      <c r="M25" s="98"/>
      <c r="N25" s="96">
        <v>0</v>
      </c>
      <c r="O25" s="97"/>
      <c r="P25" s="97"/>
      <c r="Q25" s="97"/>
      <c r="R25" s="98"/>
      <c r="S25" s="96">
        <v>0</v>
      </c>
      <c r="T25" s="97"/>
      <c r="U25" s="97"/>
      <c r="V25" s="97"/>
      <c r="W25" s="98"/>
      <c r="X25" s="96">
        <v>0</v>
      </c>
      <c r="Y25" s="97"/>
      <c r="Z25" s="97"/>
      <c r="AA25" s="98"/>
      <c r="AB25" s="96">
        <v>0</v>
      </c>
      <c r="AC25" s="97"/>
      <c r="AD25" s="97"/>
      <c r="AE25" s="98"/>
      <c r="AF25" s="96">
        <v>0</v>
      </c>
      <c r="AG25" s="97"/>
      <c r="AH25" s="97"/>
      <c r="AI25" s="97"/>
      <c r="AJ25" s="98"/>
      <c r="AK25" s="96">
        <v>0</v>
      </c>
      <c r="AL25" s="97"/>
      <c r="AM25" s="97"/>
      <c r="AN25" s="98"/>
      <c r="AO25" s="81">
        <v>0</v>
      </c>
      <c r="AP25" s="82"/>
      <c r="AQ25" s="82"/>
      <c r="AR25" s="82"/>
      <c r="AS25" s="83"/>
      <c r="AT25" s="96"/>
      <c r="AU25" s="97"/>
      <c r="AV25" s="97"/>
      <c r="AW25" s="97"/>
      <c r="AX25" s="98"/>
      <c r="AY25" s="99">
        <v>0</v>
      </c>
      <c r="AZ25" s="100"/>
      <c r="BA25" s="100"/>
      <c r="BB25" s="101"/>
      <c r="BC25" s="99"/>
      <c r="BD25" s="100"/>
      <c r="BE25" s="100"/>
      <c r="BF25" s="101"/>
      <c r="BG25" s="32"/>
      <c r="BH25" s="33">
        <f t="shared" si="1"/>
        <v>0</v>
      </c>
      <c r="BI25" s="46">
        <f>BH25/BH40</f>
        <v>0</v>
      </c>
      <c r="BK25" s="33" t="e">
        <f>BH25-#REF!</f>
        <v>#REF!</v>
      </c>
      <c r="BL25" s="34"/>
    </row>
    <row r="26" spans="1:64" ht="16" customHeight="1" thickBot="1" x14ac:dyDescent="0.2">
      <c r="A26" s="30" t="s">
        <v>40</v>
      </c>
      <c r="B26" s="30"/>
      <c r="C26" s="45"/>
      <c r="E26" s="31" t="s">
        <v>54</v>
      </c>
      <c r="F26" s="96">
        <v>0</v>
      </c>
      <c r="G26" s="97"/>
      <c r="H26" s="97"/>
      <c r="I26" s="98"/>
      <c r="J26" s="96">
        <v>0</v>
      </c>
      <c r="K26" s="97"/>
      <c r="L26" s="97"/>
      <c r="M26" s="98"/>
      <c r="N26" s="96">
        <v>0</v>
      </c>
      <c r="O26" s="97"/>
      <c r="P26" s="97"/>
      <c r="Q26" s="97"/>
      <c r="R26" s="98"/>
      <c r="S26" s="96">
        <v>0</v>
      </c>
      <c r="T26" s="97"/>
      <c r="U26" s="97"/>
      <c r="V26" s="97"/>
      <c r="W26" s="98"/>
      <c r="X26" s="96">
        <f>11500+10872.08+16301.31</f>
        <v>38673.39</v>
      </c>
      <c r="Y26" s="121"/>
      <c r="Z26" s="121"/>
      <c r="AA26" s="122"/>
      <c r="AB26" s="96">
        <f>12928.62+8400+8399.99+5600+5600+593.38+241.11+159.99+498.7+327.92</f>
        <v>42749.709999999992</v>
      </c>
      <c r="AC26" s="121"/>
      <c r="AD26" s="121"/>
      <c r="AE26" s="122"/>
      <c r="AF26" s="96">
        <f>12662.32+16206.61+6478.89+4320.01+2153.98</f>
        <v>41821.810000000005</v>
      </c>
      <c r="AG26" s="121"/>
      <c r="AH26" s="121"/>
      <c r="AI26" s="121"/>
      <c r="AJ26" s="122"/>
      <c r="AK26" s="96">
        <f>7909.09+18846.01</f>
        <v>26755.1</v>
      </c>
      <c r="AL26" s="121"/>
      <c r="AM26" s="121"/>
      <c r="AN26" s="122"/>
      <c r="AO26" s="81">
        <v>39999.99</v>
      </c>
      <c r="AP26" s="82"/>
      <c r="AQ26" s="82"/>
      <c r="AR26" s="82"/>
      <c r="AS26" s="83"/>
      <c r="AT26" s="96"/>
      <c r="AU26" s="121"/>
      <c r="AV26" s="121"/>
      <c r="AW26" s="121"/>
      <c r="AX26" s="122"/>
      <c r="AY26" s="99">
        <f>20160+8400+13440+27000</f>
        <v>69000</v>
      </c>
      <c r="AZ26" s="126"/>
      <c r="BA26" s="126"/>
      <c r="BB26" s="127"/>
      <c r="BC26" s="99"/>
      <c r="BD26" s="100"/>
      <c r="BE26" s="100"/>
      <c r="BF26" s="101"/>
      <c r="BG26" s="32"/>
      <c r="BH26" s="33">
        <f t="shared" si="1"/>
        <v>259000</v>
      </c>
      <c r="BI26" s="46">
        <f>BH26/BH40</f>
        <v>7.8788688706468921E-2</v>
      </c>
      <c r="BK26" s="160" t="e">
        <f>BH26+BH27-#REF!-#REF!</f>
        <v>#REF!</v>
      </c>
      <c r="BL26" s="34" t="e">
        <f>BK26/BK40</f>
        <v>#REF!</v>
      </c>
    </row>
    <row r="27" spans="1:64" ht="15" thickBot="1" x14ac:dyDescent="0.2">
      <c r="A27" s="30" t="s">
        <v>40</v>
      </c>
      <c r="B27" s="30"/>
      <c r="C27" s="45"/>
      <c r="E27" s="31" t="s">
        <v>55</v>
      </c>
      <c r="F27" s="96">
        <v>0</v>
      </c>
      <c r="G27" s="97"/>
      <c r="H27" s="97"/>
      <c r="I27" s="98"/>
      <c r="J27" s="96">
        <v>9187.51</v>
      </c>
      <c r="K27" s="121"/>
      <c r="L27" s="121"/>
      <c r="M27" s="122"/>
      <c r="N27" s="96">
        <v>10500</v>
      </c>
      <c r="O27" s="121"/>
      <c r="P27" s="121"/>
      <c r="Q27" s="121"/>
      <c r="R27" s="122"/>
      <c r="S27" s="96">
        <v>10500</v>
      </c>
      <c r="T27" s="121"/>
      <c r="U27" s="121"/>
      <c r="V27" s="121"/>
      <c r="W27" s="122"/>
      <c r="X27" s="96">
        <v>19655.650000000001</v>
      </c>
      <c r="Y27" s="121"/>
      <c r="Z27" s="121"/>
      <c r="AA27" s="122"/>
      <c r="AB27" s="96">
        <f>263.04+227.29+97.06+7350.01+3150+28.16</f>
        <v>11115.560000000001</v>
      </c>
      <c r="AC27" s="121"/>
      <c r="AD27" s="121"/>
      <c r="AE27" s="122"/>
      <c r="AF27" s="96">
        <f>75126.64-24427.93-AF26</f>
        <v>8876.8999999999942</v>
      </c>
      <c r="AG27" s="121"/>
      <c r="AH27" s="121"/>
      <c r="AI27" s="121"/>
      <c r="AJ27" s="122"/>
      <c r="AK27" s="96">
        <f>3199.99+800+680.66+6411.3</f>
        <v>11091.95</v>
      </c>
      <c r="AL27" s="121"/>
      <c r="AM27" s="121"/>
      <c r="AN27" s="122"/>
      <c r="AO27" s="81">
        <v>8130.02</v>
      </c>
      <c r="AP27" s="82"/>
      <c r="AQ27" s="82"/>
      <c r="AR27" s="82"/>
      <c r="AS27" s="83"/>
      <c r="AT27" s="96">
        <v>29130.01</v>
      </c>
      <c r="AU27" s="121"/>
      <c r="AV27" s="121"/>
      <c r="AW27" s="121"/>
      <c r="AX27" s="122"/>
      <c r="AY27" s="99">
        <f>9800+4200</f>
        <v>14000</v>
      </c>
      <c r="AZ27" s="126"/>
      <c r="BA27" s="126"/>
      <c r="BB27" s="127"/>
      <c r="BC27" s="99">
        <v>7000</v>
      </c>
      <c r="BD27" s="126"/>
      <c r="BE27" s="126"/>
      <c r="BF27" s="127"/>
      <c r="BG27" s="32"/>
      <c r="BH27" s="33">
        <f t="shared" si="1"/>
        <v>139187.59999999998</v>
      </c>
      <c r="BI27" s="46">
        <f>BH27/BH40</f>
        <v>4.2341345514287691E-2</v>
      </c>
      <c r="BK27" s="109"/>
      <c r="BL27" s="34" t="e">
        <f>BK27/BK40</f>
        <v>#REF!</v>
      </c>
    </row>
    <row r="28" spans="1:64" ht="15" thickBot="1" x14ac:dyDescent="0.2">
      <c r="A28" s="30" t="s">
        <v>40</v>
      </c>
      <c r="B28" s="30"/>
      <c r="C28" s="45"/>
      <c r="E28" s="31" t="s">
        <v>56</v>
      </c>
      <c r="F28" s="96">
        <f>18374.93</f>
        <v>18374.93</v>
      </c>
      <c r="G28" s="97"/>
      <c r="H28" s="97"/>
      <c r="I28" s="98"/>
      <c r="J28" s="96">
        <v>13781</v>
      </c>
      <c r="K28" s="97"/>
      <c r="L28" s="97"/>
      <c r="M28" s="98"/>
      <c r="N28" s="96">
        <v>18374.89</v>
      </c>
      <c r="O28" s="97"/>
      <c r="P28" s="97"/>
      <c r="Q28" s="97"/>
      <c r="R28" s="98"/>
      <c r="S28" s="96">
        <v>20000</v>
      </c>
      <c r="T28" s="97"/>
      <c r="U28" s="97"/>
      <c r="V28" s="97"/>
      <c r="W28" s="98"/>
      <c r="X28" s="96">
        <v>16998.97</v>
      </c>
      <c r="Y28" s="97"/>
      <c r="Z28" s="97"/>
      <c r="AA28" s="98"/>
      <c r="AB28" s="96">
        <v>19528.490000000002</v>
      </c>
      <c r="AC28" s="121"/>
      <c r="AD28" s="121"/>
      <c r="AE28" s="122"/>
      <c r="AF28" s="96">
        <v>14999.38</v>
      </c>
      <c r="AG28" s="97"/>
      <c r="AH28" s="97"/>
      <c r="AI28" s="97"/>
      <c r="AJ28" s="98"/>
      <c r="AK28" s="96">
        <v>24670.91</v>
      </c>
      <c r="AL28" s="97"/>
      <c r="AM28" s="97"/>
      <c r="AN28" s="98"/>
      <c r="AO28" s="81">
        <v>19382.43</v>
      </c>
      <c r="AP28" s="82"/>
      <c r="AQ28" s="82"/>
      <c r="AR28" s="82"/>
      <c r="AS28" s="83"/>
      <c r="AT28" s="96">
        <v>20000</v>
      </c>
      <c r="AU28" s="97"/>
      <c r="AV28" s="97"/>
      <c r="AW28" s="97"/>
      <c r="AX28" s="98"/>
      <c r="AY28" s="99">
        <v>15000</v>
      </c>
      <c r="AZ28" s="100"/>
      <c r="BA28" s="100"/>
      <c r="BB28" s="101"/>
      <c r="BC28" s="99">
        <v>15000</v>
      </c>
      <c r="BD28" s="100"/>
      <c r="BE28" s="100"/>
      <c r="BF28" s="101"/>
      <c r="BG28" s="32"/>
      <c r="BH28" s="33">
        <f t="shared" si="1"/>
        <v>216111</v>
      </c>
      <c r="BI28" s="46">
        <f>BH28/BH40</f>
        <v>6.5741707741481484E-2</v>
      </c>
      <c r="BK28" s="160" t="e">
        <f>BH28+BH29-#REF!-#REF!</f>
        <v>#REF!</v>
      </c>
      <c r="BL28" s="34" t="e">
        <f>BK28/BK40</f>
        <v>#REF!</v>
      </c>
    </row>
    <row r="29" spans="1:64" ht="15" thickBot="1" x14ac:dyDescent="0.2">
      <c r="A29" s="45"/>
      <c r="B29" s="45"/>
      <c r="C29" s="45"/>
      <c r="E29" s="48" t="s">
        <v>57</v>
      </c>
      <c r="F29" s="96">
        <v>0</v>
      </c>
      <c r="G29" s="97"/>
      <c r="H29" s="97"/>
      <c r="I29" s="98"/>
      <c r="J29" s="96">
        <v>0</v>
      </c>
      <c r="K29" s="97"/>
      <c r="L29" s="97"/>
      <c r="M29" s="98"/>
      <c r="N29" s="96">
        <v>0</v>
      </c>
      <c r="O29" s="97"/>
      <c r="P29" s="97"/>
      <c r="Q29" s="97"/>
      <c r="R29" s="98"/>
      <c r="S29" s="96">
        <v>0</v>
      </c>
      <c r="T29" s="97"/>
      <c r="U29" s="97"/>
      <c r="V29" s="97"/>
      <c r="W29" s="98"/>
      <c r="X29" s="96">
        <v>0</v>
      </c>
      <c r="Y29" s="97"/>
      <c r="Z29" s="97"/>
      <c r="AA29" s="98"/>
      <c r="AB29" s="96">
        <v>0</v>
      </c>
      <c r="AC29" s="97"/>
      <c r="AD29" s="97"/>
      <c r="AE29" s="98"/>
      <c r="AF29" s="96">
        <v>0</v>
      </c>
      <c r="AG29" s="97"/>
      <c r="AH29" s="97"/>
      <c r="AI29" s="97"/>
      <c r="AJ29" s="98"/>
      <c r="AK29" s="96">
        <v>0</v>
      </c>
      <c r="AL29" s="97"/>
      <c r="AM29" s="97"/>
      <c r="AN29" s="98"/>
      <c r="AO29" s="81">
        <v>0</v>
      </c>
      <c r="AP29" s="82"/>
      <c r="AQ29" s="82"/>
      <c r="AR29" s="82"/>
      <c r="AS29" s="83"/>
      <c r="AT29" s="96"/>
      <c r="AU29" s="97"/>
      <c r="AV29" s="97"/>
      <c r="AW29" s="97"/>
      <c r="AX29" s="98"/>
      <c r="AY29" s="99">
        <v>0</v>
      </c>
      <c r="AZ29" s="100"/>
      <c r="BA29" s="100"/>
      <c r="BB29" s="101"/>
      <c r="BC29" s="99"/>
      <c r="BD29" s="100"/>
      <c r="BE29" s="100"/>
      <c r="BF29" s="101"/>
      <c r="BG29" s="32"/>
      <c r="BH29" s="33">
        <f t="shared" si="1"/>
        <v>0</v>
      </c>
      <c r="BI29" s="46">
        <f>BH29/BH40</f>
        <v>0</v>
      </c>
      <c r="BK29" s="109"/>
      <c r="BL29" s="34"/>
    </row>
    <row r="30" spans="1:64" ht="15" thickBot="1" x14ac:dyDescent="0.2">
      <c r="A30" s="45"/>
      <c r="B30" s="45"/>
      <c r="C30" s="45"/>
      <c r="E30" s="31" t="s">
        <v>58</v>
      </c>
      <c r="F30" s="96">
        <v>0</v>
      </c>
      <c r="G30" s="97"/>
      <c r="H30" s="97"/>
      <c r="I30" s="98"/>
      <c r="J30" s="96">
        <v>0</v>
      </c>
      <c r="K30" s="97"/>
      <c r="L30" s="97"/>
      <c r="M30" s="98"/>
      <c r="N30" s="96">
        <v>4593.75</v>
      </c>
      <c r="O30" s="97"/>
      <c r="P30" s="97"/>
      <c r="Q30" s="97"/>
      <c r="R30" s="98"/>
      <c r="S30" s="96">
        <v>0</v>
      </c>
      <c r="T30" s="97"/>
      <c r="U30" s="97"/>
      <c r="V30" s="97"/>
      <c r="W30" s="98"/>
      <c r="X30" s="96">
        <v>0</v>
      </c>
      <c r="Y30" s="97"/>
      <c r="Z30" s="97"/>
      <c r="AA30" s="98"/>
      <c r="AB30" s="96">
        <v>5000</v>
      </c>
      <c r="AC30" s="97"/>
      <c r="AD30" s="97"/>
      <c r="AE30" s="98"/>
      <c r="AF30" s="96">
        <v>0</v>
      </c>
      <c r="AG30" s="97"/>
      <c r="AH30" s="97"/>
      <c r="AI30" s="97"/>
      <c r="AJ30" s="98"/>
      <c r="AK30" s="96">
        <v>1712.43</v>
      </c>
      <c r="AL30" s="97"/>
      <c r="AM30" s="97"/>
      <c r="AN30" s="98"/>
      <c r="AO30" s="81">
        <v>5000</v>
      </c>
      <c r="AP30" s="82"/>
      <c r="AQ30" s="82"/>
      <c r="AR30" s="82"/>
      <c r="AS30" s="83"/>
      <c r="AT30" s="96"/>
      <c r="AU30" s="97"/>
      <c r="AV30" s="97"/>
      <c r="AW30" s="97"/>
      <c r="AX30" s="98"/>
      <c r="AY30" s="99">
        <v>0</v>
      </c>
      <c r="AZ30" s="100"/>
      <c r="BA30" s="100"/>
      <c r="BB30" s="101"/>
      <c r="BC30" s="99"/>
      <c r="BD30" s="100"/>
      <c r="BE30" s="100"/>
      <c r="BF30" s="101"/>
      <c r="BG30" s="32"/>
      <c r="BH30" s="33">
        <f t="shared" si="1"/>
        <v>16306.18</v>
      </c>
      <c r="BI30" s="46">
        <f>BH30/BH40</f>
        <v>4.960395907380886E-3</v>
      </c>
      <c r="BK30" s="33" t="e">
        <f>BH30-#REF!</f>
        <v>#REF!</v>
      </c>
      <c r="BL30" s="34" t="e">
        <f>BK30/BK40</f>
        <v>#REF!</v>
      </c>
    </row>
    <row r="31" spans="1:64" ht="15" thickBot="1" x14ac:dyDescent="0.2">
      <c r="A31" s="47"/>
      <c r="B31" s="47"/>
      <c r="C31" s="47"/>
      <c r="E31" s="31" t="s">
        <v>59</v>
      </c>
      <c r="F31" s="96">
        <v>0</v>
      </c>
      <c r="G31" s="97"/>
      <c r="H31" s="97"/>
      <c r="I31" s="98"/>
      <c r="J31" s="96">
        <v>0</v>
      </c>
      <c r="K31" s="97"/>
      <c r="L31" s="97"/>
      <c r="M31" s="98"/>
      <c r="N31" s="96">
        <v>0</v>
      </c>
      <c r="O31" s="97"/>
      <c r="P31" s="97"/>
      <c r="Q31" s="97"/>
      <c r="R31" s="98"/>
      <c r="S31" s="96">
        <v>0</v>
      </c>
      <c r="T31" s="97"/>
      <c r="U31" s="97"/>
      <c r="V31" s="97"/>
      <c r="W31" s="98"/>
      <c r="X31" s="96">
        <v>0</v>
      </c>
      <c r="Y31" s="97"/>
      <c r="Z31" s="97"/>
      <c r="AA31" s="98"/>
      <c r="AB31" s="96">
        <v>0</v>
      </c>
      <c r="AC31" s="97"/>
      <c r="AD31" s="97"/>
      <c r="AE31" s="98"/>
      <c r="AF31" s="96">
        <v>0</v>
      </c>
      <c r="AG31" s="97"/>
      <c r="AH31" s="97"/>
      <c r="AI31" s="97"/>
      <c r="AJ31" s="98"/>
      <c r="AK31" s="96">
        <v>0</v>
      </c>
      <c r="AL31" s="97"/>
      <c r="AM31" s="97"/>
      <c r="AN31" s="98"/>
      <c r="AO31" s="81">
        <v>0</v>
      </c>
      <c r="AP31" s="82"/>
      <c r="AQ31" s="82"/>
      <c r="AR31" s="82"/>
      <c r="AS31" s="83"/>
      <c r="AT31" s="96"/>
      <c r="AU31" s="97"/>
      <c r="AV31" s="97"/>
      <c r="AW31" s="97"/>
      <c r="AX31" s="98"/>
      <c r="AY31" s="99">
        <v>0</v>
      </c>
      <c r="AZ31" s="100"/>
      <c r="BA31" s="100"/>
      <c r="BB31" s="101"/>
      <c r="BC31" s="99"/>
      <c r="BD31" s="100"/>
      <c r="BE31" s="100"/>
      <c r="BF31" s="101"/>
      <c r="BG31" s="32"/>
      <c r="BH31" s="33">
        <f t="shared" si="1"/>
        <v>0</v>
      </c>
      <c r="BI31" s="46">
        <f>BH31/BH40</f>
        <v>0</v>
      </c>
      <c r="BK31" s="33">
        <v>0</v>
      </c>
      <c r="BL31" s="34" t="e">
        <f>BK31/BK40</f>
        <v>#REF!</v>
      </c>
    </row>
    <row r="32" spans="1:64" ht="32.25" customHeight="1" thickBot="1" x14ac:dyDescent="0.25">
      <c r="A32" s="39"/>
      <c r="B32" s="39"/>
      <c r="C32" s="39"/>
      <c r="E32" s="40" t="s">
        <v>60</v>
      </c>
      <c r="F32" s="148">
        <f>F31+F30+F28+F27+F26+F24+F23+F19+F29+F22+F25+F20+F21</f>
        <v>59498.1</v>
      </c>
      <c r="G32" s="97"/>
      <c r="H32" s="97"/>
      <c r="I32" s="98"/>
      <c r="J32" s="148">
        <f>J31+J30+J28+J27+J26+J24+J23+J19+J29+J22+J25+J20+J21</f>
        <v>53763.23</v>
      </c>
      <c r="K32" s="97"/>
      <c r="L32" s="97"/>
      <c r="M32" s="98"/>
      <c r="N32" s="148">
        <f>N31+N30+N28+N27+N26+N24+N23+N19+N29+N22+N25+N20+N21</f>
        <v>66768.22</v>
      </c>
      <c r="O32" s="97"/>
      <c r="P32" s="97"/>
      <c r="Q32" s="97"/>
      <c r="R32" s="98"/>
      <c r="S32" s="148">
        <f>S31+S30+S28+S27+S26+S24+S23+S19+S29+S22+S25+S20+S21</f>
        <v>72188.72</v>
      </c>
      <c r="T32" s="97"/>
      <c r="U32" s="97"/>
      <c r="V32" s="97"/>
      <c r="W32" s="98"/>
      <c r="X32" s="148">
        <f>X31+X30+X28+X27+X26+X24+X23+X19+X29+X22+X25+X20+X21</f>
        <v>117805.48000000001</v>
      </c>
      <c r="Y32" s="97"/>
      <c r="Z32" s="97"/>
      <c r="AA32" s="98"/>
      <c r="AB32" s="148">
        <f>AB31+AB30+AB28+AB27+AB26+AB24+AB23+AB19+AB29+AB22+AB25+AB20+AB21</f>
        <v>203431.2</v>
      </c>
      <c r="AC32" s="97"/>
      <c r="AD32" s="97"/>
      <c r="AE32" s="98"/>
      <c r="AF32" s="148">
        <f>AF31+AF30+AF28+AF27+AF26+AF24+AF23+AF19+AF29+AF22+AF25+AF20+AF21</f>
        <v>163885.35</v>
      </c>
      <c r="AG32" s="97"/>
      <c r="AH32" s="97"/>
      <c r="AI32" s="97"/>
      <c r="AJ32" s="98"/>
      <c r="AK32" s="148">
        <f>AK31+AK30+AK28+AK27+AK26+AK24+AK23+AK19+AK29+AK22+AK25+AK20+AK21</f>
        <v>111227.18</v>
      </c>
      <c r="AL32" s="97"/>
      <c r="AM32" s="97"/>
      <c r="AN32" s="98"/>
      <c r="AO32" s="84">
        <f>AO19+AO20+AO21+AO22+AO23+AO24+AO25+AO26+AO27+AO28+AO29+AO30+AO31</f>
        <v>146932.85</v>
      </c>
      <c r="AP32" s="85"/>
      <c r="AQ32" s="85"/>
      <c r="AR32" s="85"/>
      <c r="AS32" s="86"/>
      <c r="AT32" s="84">
        <f>AT19+AT20+AT21+AT22+AT23+AT24+AT25+AT26+AT27+AT28+AT29+AT30+AT31</f>
        <v>77341.48</v>
      </c>
      <c r="AU32" s="85"/>
      <c r="AV32" s="85"/>
      <c r="AW32" s="85"/>
      <c r="AX32" s="86"/>
      <c r="AY32" s="102">
        <f>AY19+AY20+AY21+AY22+AY23+AY24+AY25+AY27++AY28+AY29+AY30+AY31+AY26</f>
        <v>103000</v>
      </c>
      <c r="AZ32" s="100"/>
      <c r="BA32" s="100"/>
      <c r="BB32" s="101"/>
      <c r="BC32" s="102">
        <f>BC19+BC20+BC21+BC22+BC23+BC24+BC25+BC26+BC27+BC28</f>
        <v>29650</v>
      </c>
      <c r="BD32" s="100"/>
      <c r="BE32" s="100"/>
      <c r="BF32" s="101"/>
      <c r="BG32" s="32"/>
      <c r="BH32" s="33">
        <f>SUM(F32:BF32)</f>
        <v>1205491.81</v>
      </c>
      <c r="BI32" s="46">
        <f>BH32/BH40</f>
        <v>0.36671474500497214</v>
      </c>
      <c r="BJ32" s="50"/>
      <c r="BK32" s="33" t="e">
        <f>BK19+BK23+BK24+BK26+BK27+BK28+BK30+BK31+BK20+BK21+BK22</f>
        <v>#REF!</v>
      </c>
      <c r="BL32" s="34" t="e">
        <f>BL19+BL23+BL24+BL26+BL27+BL28+BL30+BL31</f>
        <v>#REF!</v>
      </c>
    </row>
    <row r="33" spans="1:64" ht="14" thickBot="1" x14ac:dyDescent="0.2">
      <c r="A33" s="51"/>
      <c r="B33" s="51"/>
      <c r="C33" s="51"/>
      <c r="E33" s="51"/>
      <c r="F33" s="52"/>
      <c r="J33" s="16"/>
      <c r="K33" s="16"/>
      <c r="L33" s="16"/>
      <c r="M33" s="16"/>
      <c r="AY33" s="79"/>
      <c r="AZ33" s="79"/>
      <c r="BA33" s="79"/>
      <c r="BB33" s="79"/>
      <c r="BC33" s="79"/>
      <c r="BD33" s="79"/>
      <c r="BE33" s="79"/>
      <c r="BF33" s="79"/>
      <c r="BH33" s="42">
        <f>BH32+505000</f>
        <v>1710491.81</v>
      </c>
      <c r="BI33" s="43">
        <f>BH33/BH44</f>
        <v>0.45104648427425043</v>
      </c>
      <c r="BJ33" s="50"/>
      <c r="BK33" s="50"/>
      <c r="BL33" s="50"/>
    </row>
    <row r="34" spans="1:64" ht="13" x14ac:dyDescent="0.15">
      <c r="A34" s="51"/>
      <c r="B34" s="51"/>
      <c r="C34" s="51"/>
      <c r="E34" s="106" t="s">
        <v>61</v>
      </c>
      <c r="F34" s="52"/>
      <c r="J34" s="16"/>
      <c r="K34" s="16"/>
      <c r="L34" s="16"/>
      <c r="M34" s="16"/>
      <c r="AY34" s="79"/>
      <c r="AZ34" s="79"/>
      <c r="BA34" s="79"/>
      <c r="BB34" s="79"/>
      <c r="BC34" s="79"/>
      <c r="BD34" s="79"/>
      <c r="BE34" s="79"/>
      <c r="BF34" s="79"/>
      <c r="BI34" s="50"/>
      <c r="BJ34" s="50"/>
      <c r="BK34" s="50"/>
      <c r="BL34" s="50"/>
    </row>
    <row r="35" spans="1:64" ht="14" thickBot="1" x14ac:dyDescent="0.2">
      <c r="A35" s="51"/>
      <c r="B35" s="51"/>
      <c r="C35" s="51"/>
      <c r="E35" s="107"/>
      <c r="F35" s="52"/>
      <c r="J35" s="16"/>
      <c r="K35" s="16"/>
      <c r="L35" s="16"/>
      <c r="M35" s="16"/>
      <c r="AY35" s="79"/>
      <c r="AZ35" s="79"/>
      <c r="BA35" s="79"/>
      <c r="BB35" s="79"/>
      <c r="BC35" s="79"/>
      <c r="BD35" s="79"/>
      <c r="BE35" s="79"/>
      <c r="BF35" s="79"/>
      <c r="BI35" s="50"/>
      <c r="BJ35" s="50"/>
      <c r="BK35" s="50"/>
      <c r="BL35" s="50"/>
    </row>
    <row r="36" spans="1:64" ht="15" thickBot="1" x14ac:dyDescent="0.2">
      <c r="A36" s="51"/>
      <c r="B36" s="51"/>
      <c r="C36" s="51"/>
      <c r="E36" s="31" t="s">
        <v>62</v>
      </c>
      <c r="F36" s="96">
        <v>0</v>
      </c>
      <c r="G36" s="97"/>
      <c r="H36" s="97"/>
      <c r="I36" s="98"/>
      <c r="J36" s="96">
        <v>0</v>
      </c>
      <c r="K36" s="97"/>
      <c r="L36" s="97"/>
      <c r="M36" s="98"/>
      <c r="N36" s="96">
        <v>0</v>
      </c>
      <c r="O36" s="97"/>
      <c r="P36" s="97"/>
      <c r="Q36" s="97"/>
      <c r="R36" s="98"/>
      <c r="S36" s="96">
        <v>0</v>
      </c>
      <c r="T36" s="97"/>
      <c r="U36" s="97"/>
      <c r="V36" s="97"/>
      <c r="W36" s="98"/>
      <c r="X36" s="121">
        <v>0</v>
      </c>
      <c r="Y36" s="97"/>
      <c r="Z36" s="97"/>
      <c r="AA36" s="98"/>
      <c r="AB36" s="96">
        <v>0</v>
      </c>
      <c r="AC36" s="97"/>
      <c r="AD36" s="97"/>
      <c r="AE36" s="98"/>
      <c r="AF36" s="96">
        <v>15000</v>
      </c>
      <c r="AG36" s="97"/>
      <c r="AH36" s="97"/>
      <c r="AI36" s="97"/>
      <c r="AJ36" s="98"/>
      <c r="AK36" s="96">
        <v>0</v>
      </c>
      <c r="AL36" s="97"/>
      <c r="AM36" s="97"/>
      <c r="AN36" s="98"/>
      <c r="AO36" s="81"/>
      <c r="AP36" s="82"/>
      <c r="AQ36" s="82"/>
      <c r="AR36" s="82"/>
      <c r="AS36" s="83"/>
      <c r="AT36" s="96"/>
      <c r="AU36" s="97"/>
      <c r="AV36" s="97"/>
      <c r="AW36" s="97"/>
      <c r="AX36" s="98"/>
      <c r="AY36" s="99"/>
      <c r="AZ36" s="100"/>
      <c r="BA36" s="100"/>
      <c r="BB36" s="101"/>
      <c r="BC36" s="99"/>
      <c r="BD36" s="100"/>
      <c r="BE36" s="100"/>
      <c r="BF36" s="101"/>
      <c r="BG36" s="27"/>
      <c r="BH36" s="33">
        <f t="shared" ref="BH36:BH38" si="2">SUM(F36:BF36)</f>
        <v>15000</v>
      </c>
      <c r="BI36" s="46">
        <f>BH36/BH40</f>
        <v>4.5630514694866174E-3</v>
      </c>
      <c r="BJ36" s="27"/>
      <c r="BK36" s="27"/>
      <c r="BL36" s="27"/>
    </row>
    <row r="37" spans="1:64" ht="15" thickBot="1" x14ac:dyDescent="0.2">
      <c r="A37" s="51"/>
      <c r="B37" s="51"/>
      <c r="C37" s="51"/>
      <c r="E37" s="31" t="s">
        <v>63</v>
      </c>
      <c r="F37" s="96">
        <v>0</v>
      </c>
      <c r="G37" s="97"/>
      <c r="H37" s="97"/>
      <c r="I37" s="98"/>
      <c r="J37" s="96">
        <v>0</v>
      </c>
      <c r="K37" s="97"/>
      <c r="L37" s="97"/>
      <c r="M37" s="98"/>
      <c r="N37" s="96">
        <v>0</v>
      </c>
      <c r="O37" s="97"/>
      <c r="P37" s="97"/>
      <c r="Q37" s="97"/>
      <c r="R37" s="98"/>
      <c r="S37" s="96">
        <v>0</v>
      </c>
      <c r="T37" s="97"/>
      <c r="U37" s="97"/>
      <c r="V37" s="97"/>
      <c r="W37" s="98"/>
      <c r="X37" s="96">
        <v>0</v>
      </c>
      <c r="Y37" s="97"/>
      <c r="Z37" s="97"/>
      <c r="AA37" s="98"/>
      <c r="AB37" s="96">
        <v>0</v>
      </c>
      <c r="AC37" s="97"/>
      <c r="AD37" s="97"/>
      <c r="AE37" s="98"/>
      <c r="AF37" s="96"/>
      <c r="AG37" s="97"/>
      <c r="AH37" s="97"/>
      <c r="AI37" s="97"/>
      <c r="AJ37" s="98"/>
      <c r="AK37" s="96">
        <v>0</v>
      </c>
      <c r="AL37" s="97"/>
      <c r="AM37" s="97"/>
      <c r="AN37" s="98"/>
      <c r="AO37" s="81"/>
      <c r="AP37" s="82"/>
      <c r="AQ37" s="82"/>
      <c r="AR37" s="82"/>
      <c r="AS37" s="83"/>
      <c r="AT37" s="96"/>
      <c r="AU37" s="97"/>
      <c r="AV37" s="97"/>
      <c r="AW37" s="97"/>
      <c r="AX37" s="98"/>
      <c r="AY37" s="99"/>
      <c r="AZ37" s="100"/>
      <c r="BA37" s="100"/>
      <c r="BB37" s="101"/>
      <c r="BC37" s="99"/>
      <c r="BD37" s="100"/>
      <c r="BE37" s="100"/>
      <c r="BF37" s="101"/>
      <c r="BG37" s="27"/>
      <c r="BH37" s="33">
        <f t="shared" si="2"/>
        <v>0</v>
      </c>
      <c r="BI37" s="46">
        <f>BH37/BH40</f>
        <v>0</v>
      </c>
      <c r="BJ37" s="27"/>
      <c r="BK37" s="27"/>
      <c r="BL37" s="27"/>
    </row>
    <row r="38" spans="1:64" ht="14" thickBot="1" x14ac:dyDescent="0.2">
      <c r="A38" s="51"/>
      <c r="B38" s="51"/>
      <c r="C38" s="51"/>
      <c r="E38" s="51"/>
      <c r="F38" s="148">
        <f>F36+F37</f>
        <v>0</v>
      </c>
      <c r="G38" s="97"/>
      <c r="H38" s="97"/>
      <c r="I38" s="98"/>
      <c r="J38" s="148">
        <f>J36+J37</f>
        <v>0</v>
      </c>
      <c r="K38" s="97"/>
      <c r="L38" s="97"/>
      <c r="M38" s="98"/>
      <c r="N38" s="148">
        <f>N36+N37</f>
        <v>0</v>
      </c>
      <c r="O38" s="97"/>
      <c r="P38" s="97"/>
      <c r="Q38" s="97"/>
      <c r="R38" s="98"/>
      <c r="S38" s="148">
        <f>S36+S37</f>
        <v>0</v>
      </c>
      <c r="T38" s="97"/>
      <c r="U38" s="97"/>
      <c r="V38" s="97"/>
      <c r="W38" s="98"/>
      <c r="X38" s="148">
        <f>X36+X37</f>
        <v>0</v>
      </c>
      <c r="Y38" s="97"/>
      <c r="Z38" s="97"/>
      <c r="AA38" s="98"/>
      <c r="AB38" s="148">
        <f>AB36+AB37</f>
        <v>0</v>
      </c>
      <c r="AC38" s="97"/>
      <c r="AD38" s="97"/>
      <c r="AE38" s="98"/>
      <c r="AF38" s="148">
        <f>AF36+AF37</f>
        <v>15000</v>
      </c>
      <c r="AG38" s="97"/>
      <c r="AH38" s="97"/>
      <c r="AI38" s="97"/>
      <c r="AJ38" s="98"/>
      <c r="AK38" s="148">
        <v>0</v>
      </c>
      <c r="AL38" s="97"/>
      <c r="AM38" s="97"/>
      <c r="AN38" s="98"/>
      <c r="AO38" s="84"/>
      <c r="AP38" s="85"/>
      <c r="AQ38" s="85"/>
      <c r="AR38" s="85"/>
      <c r="AS38" s="86"/>
      <c r="AT38" s="148"/>
      <c r="AU38" s="97"/>
      <c r="AV38" s="97"/>
      <c r="AW38" s="97"/>
      <c r="AX38" s="98"/>
      <c r="AY38" s="102"/>
      <c r="AZ38" s="100"/>
      <c r="BA38" s="100"/>
      <c r="BB38" s="101"/>
      <c r="BC38" s="102"/>
      <c r="BD38" s="100"/>
      <c r="BE38" s="100"/>
      <c r="BF38" s="101"/>
      <c r="BG38" s="27"/>
      <c r="BH38" s="33">
        <f t="shared" si="2"/>
        <v>15000</v>
      </c>
      <c r="BI38" s="34">
        <f>BH38/BH40</f>
        <v>4.5630514694866174E-3</v>
      </c>
      <c r="BJ38" s="27"/>
      <c r="BK38" s="27"/>
      <c r="BL38" s="27"/>
    </row>
    <row r="39" spans="1:64" ht="14" thickBot="1" x14ac:dyDescent="0.2">
      <c r="A39" s="51"/>
      <c r="B39" s="51"/>
      <c r="C39" s="51"/>
      <c r="E39" s="51"/>
      <c r="F39" s="52"/>
      <c r="J39" s="103"/>
      <c r="K39" s="104"/>
      <c r="L39" s="104"/>
      <c r="M39" s="104"/>
      <c r="N39" s="104"/>
      <c r="O39" s="104"/>
      <c r="P39" s="104"/>
      <c r="Q39" s="104"/>
      <c r="R39" s="104"/>
      <c r="AY39" s="79"/>
      <c r="AZ39" s="79"/>
      <c r="BA39" s="79"/>
      <c r="BB39" s="79"/>
      <c r="BC39" s="79"/>
      <c r="BD39" s="79"/>
      <c r="BE39" s="79"/>
      <c r="BF39" s="79"/>
      <c r="BH39" s="53">
        <f>BH38</f>
        <v>15000</v>
      </c>
      <c r="BI39" s="43">
        <f>BH39/BH44</f>
        <v>3.9554104992258077E-3</v>
      </c>
      <c r="BJ39" s="50"/>
      <c r="BK39" s="50"/>
      <c r="BL39" s="50"/>
    </row>
    <row r="40" spans="1:64" ht="32.25" customHeight="1" thickBot="1" x14ac:dyDescent="0.25">
      <c r="A40" s="39"/>
      <c r="B40" s="39"/>
      <c r="C40" s="39"/>
      <c r="E40" s="40" t="s">
        <v>64</v>
      </c>
      <c r="F40" s="148">
        <f>F32+F15+F38</f>
        <v>63909.599999999999</v>
      </c>
      <c r="G40" s="97"/>
      <c r="H40" s="97"/>
      <c r="I40" s="98"/>
      <c r="J40" s="148">
        <f>J32+J15+J38</f>
        <v>53763.23</v>
      </c>
      <c r="K40" s="97"/>
      <c r="L40" s="97"/>
      <c r="M40" s="98"/>
      <c r="N40" s="148">
        <f>N32+N15+N38</f>
        <v>135176.25</v>
      </c>
      <c r="O40" s="97"/>
      <c r="P40" s="97"/>
      <c r="Q40" s="97"/>
      <c r="R40" s="98"/>
      <c r="S40" s="148">
        <f>S32+S15+S38</f>
        <v>164045.19</v>
      </c>
      <c r="T40" s="97"/>
      <c r="U40" s="97"/>
      <c r="V40" s="97"/>
      <c r="W40" s="98"/>
      <c r="X40" s="148">
        <f>X32+X15+X38</f>
        <v>469734.43000000005</v>
      </c>
      <c r="Y40" s="97"/>
      <c r="Z40" s="97"/>
      <c r="AA40" s="98"/>
      <c r="AB40" s="148">
        <f>AB32+AB15+AB38</f>
        <v>617374.43999999994</v>
      </c>
      <c r="AC40" s="97"/>
      <c r="AD40" s="97"/>
      <c r="AE40" s="98"/>
      <c r="AF40" s="148">
        <f>AF32+AF15+AF38</f>
        <v>533956.03</v>
      </c>
      <c r="AG40" s="97"/>
      <c r="AH40" s="97"/>
      <c r="AI40" s="97"/>
      <c r="AJ40" s="98"/>
      <c r="AK40" s="148">
        <f>AK32+AK15+AK38</f>
        <v>289014.75</v>
      </c>
      <c r="AL40" s="97"/>
      <c r="AM40" s="97"/>
      <c r="AN40" s="98"/>
      <c r="AO40" s="84">
        <f>AO38+AO32+AO15</f>
        <v>452343.54999999993</v>
      </c>
      <c r="AP40" s="85"/>
      <c r="AQ40" s="85"/>
      <c r="AR40" s="85"/>
      <c r="AS40" s="86"/>
      <c r="AT40" s="148">
        <f>AT32+AT15+AT38</f>
        <v>164196.54999999999</v>
      </c>
      <c r="AU40" s="97"/>
      <c r="AV40" s="97"/>
      <c r="AW40" s="97"/>
      <c r="AX40" s="98"/>
      <c r="AY40" s="102">
        <f>AY32+AY15+AY38</f>
        <v>253127.34000000003</v>
      </c>
      <c r="AZ40" s="100"/>
      <c r="BA40" s="100"/>
      <c r="BB40" s="101"/>
      <c r="BC40" s="102">
        <f>BC32+BC15+BC38</f>
        <v>90632.540000000008</v>
      </c>
      <c r="BD40" s="100"/>
      <c r="BE40" s="100"/>
      <c r="BF40" s="101"/>
      <c r="BG40" s="32"/>
      <c r="BH40" s="33">
        <f>SUM(F40:BF40)</f>
        <v>3287273.8999999994</v>
      </c>
      <c r="BI40" s="50"/>
      <c r="BJ40" s="50"/>
      <c r="BK40" s="54" t="e">
        <f>BK32+BK15</f>
        <v>#REF!</v>
      </c>
      <c r="BL40" s="34"/>
    </row>
    <row r="41" spans="1:64" ht="19" thickBot="1" x14ac:dyDescent="0.25">
      <c r="A41" s="16"/>
      <c r="B41" s="16"/>
      <c r="C41" s="16"/>
      <c r="E41" s="40" t="s">
        <v>65</v>
      </c>
      <c r="F41" s="148">
        <v>35776.839999999997</v>
      </c>
      <c r="G41" s="97"/>
      <c r="H41" s="97"/>
      <c r="I41" s="98"/>
      <c r="J41" s="148">
        <v>47530.9</v>
      </c>
      <c r="K41" s="97"/>
      <c r="L41" s="97"/>
      <c r="M41" s="98"/>
      <c r="N41" s="148">
        <v>84516.76</v>
      </c>
      <c r="O41" s="97"/>
      <c r="P41" s="97"/>
      <c r="Q41" s="97"/>
      <c r="R41" s="98"/>
      <c r="S41" s="148">
        <v>233070.5</v>
      </c>
      <c r="T41" s="97"/>
      <c r="U41" s="97"/>
      <c r="V41" s="97"/>
      <c r="W41" s="98"/>
      <c r="X41" s="148">
        <v>483620.38</v>
      </c>
      <c r="Y41" s="97"/>
      <c r="Z41" s="97"/>
      <c r="AA41" s="98"/>
      <c r="AB41" s="148">
        <v>655430.12</v>
      </c>
      <c r="AC41" s="97"/>
      <c r="AD41" s="97"/>
      <c r="AE41" s="98"/>
      <c r="AF41" s="148">
        <v>581781.51</v>
      </c>
      <c r="AG41" s="97"/>
      <c r="AH41" s="97"/>
      <c r="AI41" s="97"/>
      <c r="AJ41" s="98"/>
      <c r="AK41" s="148">
        <v>305461.88</v>
      </c>
      <c r="AL41" s="97"/>
      <c r="AM41" s="97"/>
      <c r="AN41" s="98"/>
      <c r="AO41" s="84">
        <v>392814.11</v>
      </c>
      <c r="AP41" s="85"/>
      <c r="AQ41" s="85"/>
      <c r="AR41" s="85"/>
      <c r="AS41" s="86"/>
      <c r="AT41" s="148">
        <v>331174.67</v>
      </c>
      <c r="AU41" s="97"/>
      <c r="AV41" s="97"/>
      <c r="AW41" s="97"/>
      <c r="AX41" s="98"/>
      <c r="AY41" s="102">
        <v>282284.73</v>
      </c>
      <c r="AZ41" s="100"/>
      <c r="BA41" s="100"/>
      <c r="BB41" s="101"/>
      <c r="BC41" s="149">
        <v>19205.759999999998</v>
      </c>
      <c r="BD41" s="150"/>
      <c r="BE41" s="150"/>
      <c r="BF41" s="151"/>
      <c r="BG41" s="32"/>
      <c r="BH41" s="33">
        <f t="shared" ref="BH41:BH42" si="3">SUM(F41:BF41)</f>
        <v>3452668.1599999992</v>
      </c>
      <c r="BI41" s="50"/>
      <c r="BJ41" s="50"/>
      <c r="BK41" s="50"/>
      <c r="BL41" s="50"/>
    </row>
    <row r="42" spans="1:64" ht="19" thickBot="1" x14ac:dyDescent="0.25">
      <c r="E42" s="40" t="s">
        <v>66</v>
      </c>
      <c r="F42" s="134">
        <f>F40-F41</f>
        <v>28132.760000000002</v>
      </c>
      <c r="G42" s="97"/>
      <c r="H42" s="97"/>
      <c r="I42" s="98"/>
      <c r="J42" s="134">
        <f>J40-J41</f>
        <v>6232.3300000000017</v>
      </c>
      <c r="K42" s="97"/>
      <c r="L42" s="97"/>
      <c r="M42" s="98"/>
      <c r="N42" s="134">
        <f>N40-N41</f>
        <v>50659.490000000005</v>
      </c>
      <c r="O42" s="97"/>
      <c r="P42" s="97"/>
      <c r="Q42" s="97"/>
      <c r="R42" s="98"/>
      <c r="S42" s="134">
        <f>S40-S41</f>
        <v>-69025.31</v>
      </c>
      <c r="T42" s="97"/>
      <c r="U42" s="97"/>
      <c r="V42" s="97"/>
      <c r="W42" s="98"/>
      <c r="X42" s="134">
        <f>X40-X41</f>
        <v>-13885.949999999953</v>
      </c>
      <c r="Y42" s="97"/>
      <c r="Z42" s="97"/>
      <c r="AA42" s="98"/>
      <c r="AB42" s="134">
        <f>AB40-AB41</f>
        <v>-38055.680000000051</v>
      </c>
      <c r="AC42" s="97"/>
      <c r="AD42" s="97"/>
      <c r="AE42" s="98"/>
      <c r="AF42" s="134">
        <f>AF40-AF41</f>
        <v>-47825.479999999981</v>
      </c>
      <c r="AG42" s="97"/>
      <c r="AH42" s="97"/>
      <c r="AI42" s="97"/>
      <c r="AJ42" s="98"/>
      <c r="AK42" s="134">
        <f>AK40-AK41</f>
        <v>-16447.130000000005</v>
      </c>
      <c r="AL42" s="97"/>
      <c r="AM42" s="97"/>
      <c r="AN42" s="98"/>
      <c r="AO42" s="87">
        <f>AO40-AO41</f>
        <v>59529.439999999944</v>
      </c>
      <c r="AP42" s="88"/>
      <c r="AQ42" s="88"/>
      <c r="AR42" s="88"/>
      <c r="AS42" s="89"/>
      <c r="AT42" s="134">
        <f>AT40-AT41</f>
        <v>-166978.12</v>
      </c>
      <c r="AU42" s="97"/>
      <c r="AV42" s="97"/>
      <c r="AW42" s="97"/>
      <c r="AX42" s="98"/>
      <c r="AY42" s="139">
        <f>AY40-AY41</f>
        <v>-29157.389999999956</v>
      </c>
      <c r="AZ42" s="100"/>
      <c r="BA42" s="100"/>
      <c r="BB42" s="101"/>
      <c r="BC42" s="152">
        <f>BC40-BC41</f>
        <v>71426.780000000013</v>
      </c>
      <c r="BD42" s="153"/>
      <c r="BE42" s="153"/>
      <c r="BF42" s="154"/>
      <c r="BG42" s="55"/>
      <c r="BH42" s="56">
        <f t="shared" si="3"/>
        <v>-165394.25999999995</v>
      </c>
    </row>
    <row r="43" spans="1:64" ht="19" thickBot="1" x14ac:dyDescent="0.25">
      <c r="E43" s="40" t="s">
        <v>67</v>
      </c>
      <c r="F43" s="155" t="e">
        <f>F40/#REF!</f>
        <v>#REF!</v>
      </c>
      <c r="G43" s="97"/>
      <c r="H43" s="97"/>
      <c r="I43" s="98"/>
      <c r="J43" s="155" t="e">
        <f>J40/#REF!</f>
        <v>#REF!</v>
      </c>
      <c r="K43" s="97"/>
      <c r="L43" s="97"/>
      <c r="M43" s="98"/>
      <c r="N43" s="155" t="e">
        <f>N40/#REF!</f>
        <v>#REF!</v>
      </c>
      <c r="O43" s="97"/>
      <c r="P43" s="97"/>
      <c r="Q43" s="97"/>
      <c r="R43" s="98"/>
      <c r="S43" s="155" t="e">
        <f>S40/#REF!</f>
        <v>#REF!</v>
      </c>
      <c r="T43" s="97"/>
      <c r="U43" s="97"/>
      <c r="V43" s="97"/>
      <c r="W43" s="98"/>
      <c r="X43" s="155" t="e">
        <f>X40/#REF!</f>
        <v>#REF!</v>
      </c>
      <c r="Y43" s="97"/>
      <c r="Z43" s="97"/>
      <c r="AA43" s="98"/>
      <c r="AB43" s="155" t="e">
        <f>AB40/#REF!</f>
        <v>#REF!</v>
      </c>
      <c r="AC43" s="97"/>
      <c r="AD43" s="97"/>
      <c r="AE43" s="98"/>
      <c r="AF43" s="155" t="e">
        <f>AF40/#REF!</f>
        <v>#REF!</v>
      </c>
      <c r="AG43" s="97"/>
      <c r="AH43" s="97"/>
      <c r="AI43" s="97"/>
      <c r="AJ43" s="98"/>
      <c r="AK43" s="155" t="e">
        <f>AK40/#REF!</f>
        <v>#REF!</v>
      </c>
      <c r="AL43" s="97"/>
      <c r="AM43" s="97"/>
      <c r="AN43" s="98"/>
      <c r="AO43" s="155">
        <f>(AO40+AP40)/BH40</f>
        <v>0.1376044600360195</v>
      </c>
      <c r="AP43" s="97"/>
      <c r="AQ43" s="97"/>
      <c r="AR43" s="97"/>
      <c r="AS43" s="98"/>
      <c r="AT43" s="155" t="e">
        <f>AT40/#REF!</f>
        <v>#REF!</v>
      </c>
      <c r="AU43" s="97"/>
      <c r="AV43" s="97"/>
      <c r="AW43" s="97"/>
      <c r="AX43" s="98"/>
      <c r="AY43" s="156" t="e">
        <f>AY40/#REF!</f>
        <v>#REF!</v>
      </c>
      <c r="AZ43" s="100"/>
      <c r="BA43" s="100"/>
      <c r="BB43" s="101"/>
      <c r="BC43" s="157" t="e">
        <f>BC40/#REF!</f>
        <v>#REF!</v>
      </c>
      <c r="BD43" s="158"/>
      <c r="BE43" s="158"/>
      <c r="BF43" s="159"/>
      <c r="BG43" s="55"/>
      <c r="BH43" s="57"/>
    </row>
    <row r="44" spans="1:64" ht="19" thickBot="1" x14ac:dyDescent="0.25">
      <c r="E44" s="40" t="s">
        <v>68</v>
      </c>
      <c r="F44" s="132" t="e">
        <f>F41/#REF!</f>
        <v>#REF!</v>
      </c>
      <c r="G44" s="97"/>
      <c r="H44" s="97"/>
      <c r="I44" s="98"/>
      <c r="J44" s="132" t="e">
        <f>J41/#REF!</f>
        <v>#REF!</v>
      </c>
      <c r="K44" s="97"/>
      <c r="L44" s="97"/>
      <c r="M44" s="98"/>
      <c r="N44" s="132" t="e">
        <f>N41/#REF!</f>
        <v>#REF!</v>
      </c>
      <c r="O44" s="97"/>
      <c r="P44" s="97"/>
      <c r="Q44" s="97"/>
      <c r="R44" s="98"/>
      <c r="S44" s="132" t="e">
        <f>S41/#REF!</f>
        <v>#REF!</v>
      </c>
      <c r="T44" s="97"/>
      <c r="U44" s="97"/>
      <c r="V44" s="97"/>
      <c r="W44" s="98"/>
      <c r="X44" s="132" t="e">
        <f>X41/#REF!</f>
        <v>#REF!</v>
      </c>
      <c r="Y44" s="97"/>
      <c r="Z44" s="97"/>
      <c r="AA44" s="98"/>
      <c r="AB44" s="132" t="e">
        <f>AB41/#REF!</f>
        <v>#REF!</v>
      </c>
      <c r="AC44" s="97"/>
      <c r="AD44" s="97"/>
      <c r="AE44" s="98"/>
      <c r="AF44" s="132" t="e">
        <f>AF41/#REF!</f>
        <v>#REF!</v>
      </c>
      <c r="AG44" s="97"/>
      <c r="AH44" s="97"/>
      <c r="AI44" s="97"/>
      <c r="AJ44" s="98"/>
      <c r="AK44" s="132" t="e">
        <f>AK41/#REF!</f>
        <v>#REF!</v>
      </c>
      <c r="AL44" s="97"/>
      <c r="AM44" s="97"/>
      <c r="AN44" s="98"/>
      <c r="AO44" s="132" t="e">
        <f>(AO41+AP41)/#REF!</f>
        <v>#REF!</v>
      </c>
      <c r="AP44" s="97"/>
      <c r="AQ44" s="97"/>
      <c r="AR44" s="97"/>
      <c r="AS44" s="98"/>
      <c r="AT44" s="132" t="e">
        <f>AT41/#REF!</f>
        <v>#REF!</v>
      </c>
      <c r="AU44" s="97"/>
      <c r="AV44" s="97"/>
      <c r="AW44" s="97"/>
      <c r="AX44" s="98"/>
      <c r="AY44" s="133" t="e">
        <f>AY41/#REF!</f>
        <v>#REF!</v>
      </c>
      <c r="AZ44" s="100"/>
      <c r="BA44" s="100"/>
      <c r="BB44" s="101"/>
      <c r="BC44" s="133" t="e">
        <f>BC41/#REF!</f>
        <v>#REF!</v>
      </c>
      <c r="BD44" s="100"/>
      <c r="BE44" s="100"/>
      <c r="BF44" s="101"/>
      <c r="BH44" s="42">
        <f>BH40+505000</f>
        <v>3792273.8999999994</v>
      </c>
      <c r="BI44" s="58">
        <f>BI39+BI33+BI16</f>
        <v>1.0000000000000002</v>
      </c>
    </row>
    <row r="45" spans="1:64" ht="15.75" customHeight="1" thickBot="1" x14ac:dyDescent="0.2">
      <c r="AY45" s="79"/>
      <c r="AZ45" s="79"/>
      <c r="BA45" s="79"/>
      <c r="BB45" s="79"/>
      <c r="BC45" s="79"/>
      <c r="BD45" s="79"/>
      <c r="BE45" s="79"/>
      <c r="BF45" s="79"/>
    </row>
    <row r="46" spans="1:64" ht="19" thickBot="1" x14ac:dyDescent="0.25">
      <c r="E46" s="40" t="s">
        <v>69</v>
      </c>
      <c r="F46" s="134">
        <v>0</v>
      </c>
      <c r="G46" s="97"/>
      <c r="H46" s="97"/>
      <c r="I46" s="98"/>
      <c r="J46" s="134">
        <v>0</v>
      </c>
      <c r="K46" s="97"/>
      <c r="L46" s="97"/>
      <c r="M46" s="98"/>
      <c r="N46" s="134">
        <v>0</v>
      </c>
      <c r="O46" s="97"/>
      <c r="P46" s="97"/>
      <c r="Q46" s="97"/>
      <c r="R46" s="98"/>
      <c r="S46" s="135">
        <v>0</v>
      </c>
      <c r="T46" s="97"/>
      <c r="U46" s="97"/>
      <c r="V46" s="97"/>
      <c r="W46" s="98"/>
      <c r="X46" s="134">
        <v>0</v>
      </c>
      <c r="Y46" s="97"/>
      <c r="Z46" s="97"/>
      <c r="AA46" s="98"/>
      <c r="AB46" s="136">
        <v>7985.18</v>
      </c>
      <c r="AC46" s="137"/>
      <c r="AD46" s="137"/>
      <c r="AE46" s="138"/>
      <c r="AF46" s="134">
        <v>87191.6</v>
      </c>
      <c r="AG46" s="97"/>
      <c r="AH46" s="97"/>
      <c r="AI46" s="97"/>
      <c r="AJ46" s="98"/>
      <c r="AK46" s="134">
        <v>13477.47</v>
      </c>
      <c r="AL46" s="97"/>
      <c r="AM46" s="97"/>
      <c r="AN46" s="98"/>
      <c r="AO46" s="87">
        <f>17398.31+1535.4</f>
        <v>18933.710000000003</v>
      </c>
      <c r="AP46" s="88"/>
      <c r="AQ46" s="88"/>
      <c r="AR46" s="88"/>
      <c r="AS46" s="89"/>
      <c r="AT46" s="134">
        <f>8500+1527.61+884.94</f>
        <v>10912.550000000001</v>
      </c>
      <c r="AU46" s="97"/>
      <c r="AV46" s="97"/>
      <c r="AW46" s="97"/>
      <c r="AX46" s="98"/>
      <c r="AY46" s="139">
        <v>0</v>
      </c>
      <c r="AZ46" s="100"/>
      <c r="BA46" s="100"/>
      <c r="BB46" s="101"/>
      <c r="BC46" s="139">
        <v>0</v>
      </c>
      <c r="BD46" s="100"/>
      <c r="BE46" s="100"/>
      <c r="BF46" s="101"/>
      <c r="BH46" s="33">
        <f>SUM(F46:BF46)</f>
        <v>138500.51</v>
      </c>
    </row>
    <row r="47" spans="1:64" ht="14" thickBot="1" x14ac:dyDescent="0.2">
      <c r="R47" s="59"/>
      <c r="S47" s="140" t="s">
        <v>70</v>
      </c>
      <c r="T47" s="97"/>
      <c r="U47" s="97"/>
      <c r="V47" s="97"/>
      <c r="W47" s="98"/>
      <c r="AB47" s="141" t="s">
        <v>71</v>
      </c>
      <c r="AC47" s="97"/>
      <c r="AD47" s="97"/>
      <c r="AE47" s="98"/>
      <c r="AF47" s="142" t="s">
        <v>72</v>
      </c>
      <c r="AG47" s="97"/>
      <c r="AH47" s="97"/>
      <c r="AI47" s="97"/>
      <c r="AJ47" s="98"/>
      <c r="AK47" s="143" t="s">
        <v>73</v>
      </c>
      <c r="AL47" s="97"/>
      <c r="AM47" s="97"/>
      <c r="AN47" s="98"/>
      <c r="AY47" s="144" t="s">
        <v>74</v>
      </c>
      <c r="AZ47" s="100"/>
      <c r="BA47" s="100"/>
      <c r="BB47" s="101"/>
      <c r="BC47" s="79"/>
      <c r="BD47" s="79"/>
      <c r="BE47" s="79"/>
      <c r="BF47" s="79"/>
    </row>
    <row r="48" spans="1:64" ht="14" thickBot="1" x14ac:dyDescent="0.2">
      <c r="AB48" s="145" t="s">
        <v>75</v>
      </c>
      <c r="AC48" s="97"/>
      <c r="AD48" s="97"/>
      <c r="AE48" s="98"/>
      <c r="AF48" s="146" t="s">
        <v>76</v>
      </c>
      <c r="AG48" s="97"/>
      <c r="AH48" s="97"/>
      <c r="AI48" s="97"/>
      <c r="AJ48" s="98"/>
      <c r="AY48" s="79"/>
      <c r="AZ48" s="79"/>
      <c r="BA48" s="79"/>
      <c r="BB48" s="79"/>
      <c r="BC48" s="79"/>
      <c r="BD48" s="79"/>
      <c r="BE48" s="79"/>
      <c r="BF48" s="79"/>
    </row>
    <row r="49" spans="5:64" ht="14" thickBot="1" x14ac:dyDescent="0.2">
      <c r="AF49" s="147" t="s">
        <v>77</v>
      </c>
      <c r="AG49" s="97"/>
      <c r="AH49" s="97"/>
      <c r="AI49" s="97"/>
      <c r="AJ49" s="98"/>
      <c r="AY49" s="79"/>
      <c r="AZ49" s="79"/>
      <c r="BA49" s="79"/>
      <c r="BB49" s="79"/>
      <c r="BC49" s="79"/>
      <c r="BD49" s="79"/>
      <c r="BE49" s="79"/>
      <c r="BF49" s="79"/>
    </row>
    <row r="50" spans="5:64" ht="18" x14ac:dyDescent="0.15">
      <c r="E50" s="108" t="s">
        <v>78</v>
      </c>
      <c r="F50" s="23"/>
      <c r="G50" s="23"/>
      <c r="H50" s="23"/>
      <c r="I50" s="23"/>
      <c r="AY50" s="79"/>
      <c r="AZ50" s="79"/>
      <c r="BA50" s="79"/>
      <c r="BB50" s="79"/>
      <c r="BC50" s="79"/>
      <c r="BD50" s="79"/>
      <c r="BE50" s="79"/>
      <c r="BF50" s="79"/>
    </row>
    <row r="51" spans="5:64" ht="14" thickBot="1" x14ac:dyDescent="0.2">
      <c r="E51" s="109"/>
      <c r="F51" s="131"/>
      <c r="G51" s="104"/>
      <c r="H51" s="104"/>
      <c r="I51" s="104"/>
      <c r="J51" s="131"/>
      <c r="K51" s="104"/>
      <c r="L51" s="104"/>
      <c r="M51" s="104"/>
      <c r="N51" s="131"/>
      <c r="O51" s="104"/>
      <c r="P51" s="104"/>
      <c r="AY51" s="79"/>
      <c r="AZ51" s="79"/>
      <c r="BA51" s="79"/>
      <c r="BB51" s="79"/>
      <c r="BC51" s="79"/>
      <c r="BD51" s="79"/>
      <c r="BE51" s="79"/>
      <c r="BF51" s="79"/>
    </row>
    <row r="52" spans="5:64" ht="15" thickBot="1" x14ac:dyDescent="0.2">
      <c r="E52" s="48" t="s">
        <v>79</v>
      </c>
      <c r="F52" s="96">
        <f>5640.03</f>
        <v>5640.03</v>
      </c>
      <c r="G52" s="97"/>
      <c r="H52" s="97"/>
      <c r="I52" s="98"/>
      <c r="J52" s="96">
        <f>(J40-J23)*0.08825</f>
        <v>4744.6050475000002</v>
      </c>
      <c r="K52" s="97"/>
      <c r="L52" s="97"/>
      <c r="M52" s="98"/>
      <c r="N52" s="96">
        <v>11887.56</v>
      </c>
      <c r="O52" s="97"/>
      <c r="P52" s="97"/>
      <c r="Q52" s="97"/>
      <c r="R52" s="98"/>
      <c r="S52" s="96">
        <v>14463.2</v>
      </c>
      <c r="T52" s="97"/>
      <c r="U52" s="97"/>
      <c r="V52" s="97"/>
      <c r="W52" s="98"/>
      <c r="X52" s="96">
        <v>39963</v>
      </c>
      <c r="Y52" s="97"/>
      <c r="Z52" s="97"/>
      <c r="AA52" s="98"/>
      <c r="AB52" s="128">
        <v>49606.55</v>
      </c>
      <c r="AC52" s="129"/>
      <c r="AD52" s="129"/>
      <c r="AE52" s="130"/>
      <c r="AF52" s="96">
        <v>42715.54</v>
      </c>
      <c r="AG52" s="97"/>
      <c r="AH52" s="97"/>
      <c r="AI52" s="97"/>
      <c r="AJ52" s="98"/>
      <c r="AK52" s="96">
        <v>24445.08</v>
      </c>
      <c r="AL52" s="97"/>
      <c r="AM52" s="97"/>
      <c r="AN52" s="98"/>
      <c r="AO52" s="96">
        <v>39230.980000000003</v>
      </c>
      <c r="AP52" s="97"/>
      <c r="AQ52" s="97"/>
      <c r="AR52" s="97"/>
      <c r="AS52" s="98"/>
      <c r="AT52" s="96">
        <v>14490.34</v>
      </c>
      <c r="AU52" s="97"/>
      <c r="AV52" s="97"/>
      <c r="AW52" s="97"/>
      <c r="AX52" s="98"/>
      <c r="AY52" s="99">
        <f>0.08825*AY40</f>
        <v>22338.487755000002</v>
      </c>
      <c r="AZ52" s="100"/>
      <c r="BA52" s="100"/>
      <c r="BB52" s="101"/>
      <c r="BC52" s="99">
        <f>0.08825*BC40</f>
        <v>7998.3216550000006</v>
      </c>
      <c r="BD52" s="100"/>
      <c r="BE52" s="100"/>
      <c r="BF52" s="101"/>
      <c r="BH52" s="33">
        <f t="shared" ref="BH52:BH61" si="4">SUM(F52:BF52)</f>
        <v>277523.69445750001</v>
      </c>
      <c r="BI52" s="27"/>
      <c r="BJ52" s="27"/>
      <c r="BK52" s="80" t="e">
        <f>BH52-#REF!</f>
        <v>#REF!</v>
      </c>
      <c r="BL52" s="27"/>
    </row>
    <row r="53" spans="5:64" ht="15" thickBot="1" x14ac:dyDescent="0.2">
      <c r="E53" s="48" t="s">
        <v>80</v>
      </c>
      <c r="F53" s="96">
        <v>0</v>
      </c>
      <c r="G53" s="97"/>
      <c r="H53" s="97"/>
      <c r="I53" s="98"/>
      <c r="J53" s="96">
        <v>25000</v>
      </c>
      <c r="K53" s="97"/>
      <c r="L53" s="97"/>
      <c r="M53" s="98"/>
      <c r="N53" s="96">
        <v>75000</v>
      </c>
      <c r="O53" s="97"/>
      <c r="P53" s="97"/>
      <c r="Q53" s="97"/>
      <c r="R53" s="98"/>
      <c r="S53" s="96">
        <v>0</v>
      </c>
      <c r="T53" s="97"/>
      <c r="U53" s="97"/>
      <c r="V53" s="97"/>
      <c r="W53" s="98"/>
      <c r="X53" s="96">
        <v>0</v>
      </c>
      <c r="Y53" s="97"/>
      <c r="Z53" s="97"/>
      <c r="AA53" s="98"/>
      <c r="AB53" s="96">
        <v>36600</v>
      </c>
      <c r="AC53" s="97"/>
      <c r="AD53" s="97"/>
      <c r="AE53" s="98"/>
      <c r="AF53" s="96">
        <v>0</v>
      </c>
      <c r="AG53" s="97"/>
      <c r="AH53" s="97"/>
      <c r="AI53" s="97"/>
      <c r="AJ53" s="98"/>
      <c r="AK53" s="96">
        <v>9600</v>
      </c>
      <c r="AL53" s="97"/>
      <c r="AM53" s="97"/>
      <c r="AN53" s="98"/>
      <c r="AO53" s="96">
        <v>14200</v>
      </c>
      <c r="AP53" s="97"/>
      <c r="AQ53" s="97"/>
      <c r="AR53" s="97"/>
      <c r="AS53" s="98"/>
      <c r="AT53" s="96"/>
      <c r="AU53" s="97"/>
      <c r="AV53" s="97"/>
      <c r="AW53" s="97"/>
      <c r="AX53" s="98"/>
      <c r="AY53" s="99">
        <v>13200</v>
      </c>
      <c r="AZ53" s="100"/>
      <c r="BA53" s="100"/>
      <c r="BB53" s="101"/>
      <c r="BC53" s="99"/>
      <c r="BD53" s="100"/>
      <c r="BE53" s="100"/>
      <c r="BF53" s="101"/>
      <c r="BH53" s="33">
        <f t="shared" si="4"/>
        <v>173600</v>
      </c>
      <c r="BI53" s="27"/>
      <c r="BJ53" s="27"/>
      <c r="BK53" s="80" t="e">
        <f>BH53-#REF!</f>
        <v>#REF!</v>
      </c>
      <c r="BL53" s="27"/>
    </row>
    <row r="54" spans="5:64" ht="15" thickBot="1" x14ac:dyDescent="0.2">
      <c r="E54" s="31" t="s">
        <v>81</v>
      </c>
      <c r="F54" s="96">
        <v>0</v>
      </c>
      <c r="G54" s="97"/>
      <c r="H54" s="97"/>
      <c r="I54" s="98"/>
      <c r="J54" s="96">
        <v>0</v>
      </c>
      <c r="K54" s="97"/>
      <c r="L54" s="97"/>
      <c r="M54" s="98"/>
      <c r="N54" s="96">
        <v>0</v>
      </c>
      <c r="O54" s="97"/>
      <c r="P54" s="97"/>
      <c r="Q54" s="97"/>
      <c r="R54" s="98"/>
      <c r="S54" s="96">
        <v>3110</v>
      </c>
      <c r="T54" s="97"/>
      <c r="U54" s="97"/>
      <c r="V54" s="97"/>
      <c r="W54" s="98"/>
      <c r="X54" s="96">
        <v>0</v>
      </c>
      <c r="Y54" s="97"/>
      <c r="Z54" s="97"/>
      <c r="AA54" s="98"/>
      <c r="AB54" s="96">
        <v>13835</v>
      </c>
      <c r="AC54" s="97"/>
      <c r="AD54" s="97"/>
      <c r="AE54" s="98"/>
      <c r="AF54" s="96">
        <v>2620</v>
      </c>
      <c r="AG54" s="97"/>
      <c r="AH54" s="97"/>
      <c r="AI54" s="97"/>
      <c r="AJ54" s="98"/>
      <c r="AK54" s="96">
        <v>8725</v>
      </c>
      <c r="AL54" s="97"/>
      <c r="AM54" s="97"/>
      <c r="AN54" s="98"/>
      <c r="AO54" s="96">
        <v>3980</v>
      </c>
      <c r="AP54" s="97"/>
      <c r="AQ54" s="97"/>
      <c r="AR54" s="97"/>
      <c r="AS54" s="98"/>
      <c r="AT54" s="96">
        <v>1860</v>
      </c>
      <c r="AU54" s="97"/>
      <c r="AV54" s="97"/>
      <c r="AW54" s="97"/>
      <c r="AX54" s="98"/>
      <c r="AY54" s="99">
        <v>1470</v>
      </c>
      <c r="AZ54" s="100"/>
      <c r="BA54" s="100"/>
      <c r="BB54" s="101"/>
      <c r="BC54" s="99"/>
      <c r="BD54" s="100"/>
      <c r="BE54" s="100"/>
      <c r="BF54" s="101"/>
      <c r="BH54" s="33">
        <f t="shared" si="4"/>
        <v>35600</v>
      </c>
      <c r="BI54" s="27"/>
      <c r="BJ54" s="27"/>
      <c r="BK54" s="80" t="e">
        <f>BH54-#REF!</f>
        <v>#REF!</v>
      </c>
      <c r="BL54" s="27"/>
    </row>
    <row r="55" spans="5:64" ht="15" thickBot="1" x14ac:dyDescent="0.2">
      <c r="E55" s="31" t="s">
        <v>82</v>
      </c>
      <c r="F55" s="96">
        <v>0</v>
      </c>
      <c r="G55" s="97"/>
      <c r="H55" s="97"/>
      <c r="I55" s="98"/>
      <c r="J55" s="96">
        <v>0</v>
      </c>
      <c r="K55" s="97"/>
      <c r="L55" s="97"/>
      <c r="M55" s="98"/>
      <c r="N55" s="96">
        <v>0</v>
      </c>
      <c r="O55" s="97"/>
      <c r="P55" s="97"/>
      <c r="Q55" s="97"/>
      <c r="R55" s="98"/>
      <c r="S55" s="96">
        <v>0</v>
      </c>
      <c r="T55" s="97"/>
      <c r="U55" s="97"/>
      <c r="V55" s="97"/>
      <c r="W55" s="98"/>
      <c r="X55" s="96">
        <v>39400</v>
      </c>
      <c r="Y55" s="97"/>
      <c r="Z55" s="97"/>
      <c r="AA55" s="98"/>
      <c r="AB55" s="96">
        <v>0</v>
      </c>
      <c r="AC55" s="97"/>
      <c r="AD55" s="97"/>
      <c r="AE55" s="98"/>
      <c r="AF55" s="96">
        <v>0</v>
      </c>
      <c r="AG55" s="97"/>
      <c r="AH55" s="97"/>
      <c r="AI55" s="97"/>
      <c r="AJ55" s="98"/>
      <c r="AK55" s="96">
        <v>0</v>
      </c>
      <c r="AL55" s="97"/>
      <c r="AM55" s="97"/>
      <c r="AN55" s="98"/>
      <c r="AO55" s="96">
        <v>0</v>
      </c>
      <c r="AP55" s="97"/>
      <c r="AQ55" s="97"/>
      <c r="AR55" s="97"/>
      <c r="AS55" s="98"/>
      <c r="AT55" s="96"/>
      <c r="AU55" s="97"/>
      <c r="AV55" s="97"/>
      <c r="AW55" s="97"/>
      <c r="AX55" s="98"/>
      <c r="AY55" s="99"/>
      <c r="AZ55" s="100"/>
      <c r="BA55" s="100"/>
      <c r="BB55" s="101"/>
      <c r="BC55" s="99"/>
      <c r="BD55" s="100"/>
      <c r="BE55" s="100"/>
      <c r="BF55" s="101"/>
      <c r="BH55" s="33">
        <f t="shared" si="4"/>
        <v>39400</v>
      </c>
      <c r="BI55" s="27"/>
      <c r="BJ55" s="27"/>
      <c r="BK55" s="80" t="e">
        <f>BH55-#REF!</f>
        <v>#REF!</v>
      </c>
      <c r="BL55" s="27"/>
    </row>
    <row r="56" spans="5:64" ht="15" thickBot="1" x14ac:dyDescent="0.2">
      <c r="E56" s="31" t="s">
        <v>83</v>
      </c>
      <c r="F56" s="96">
        <v>4460</v>
      </c>
      <c r="G56" s="97"/>
      <c r="H56" s="97"/>
      <c r="I56" s="98"/>
      <c r="J56" s="96">
        <v>0</v>
      </c>
      <c r="K56" s="97"/>
      <c r="L56" s="97"/>
      <c r="M56" s="98"/>
      <c r="N56" s="96">
        <v>5900</v>
      </c>
      <c r="O56" s="97"/>
      <c r="P56" s="97"/>
      <c r="Q56" s="97"/>
      <c r="R56" s="98"/>
      <c r="S56" s="96">
        <v>0</v>
      </c>
      <c r="T56" s="97"/>
      <c r="U56" s="97"/>
      <c r="V56" s="97"/>
      <c r="W56" s="98"/>
      <c r="X56" s="96">
        <v>12000</v>
      </c>
      <c r="Y56" s="97"/>
      <c r="Z56" s="97"/>
      <c r="AA56" s="98"/>
      <c r="AB56" s="96">
        <v>1800</v>
      </c>
      <c r="AC56" s="97"/>
      <c r="AD56" s="97"/>
      <c r="AE56" s="98"/>
      <c r="AF56" s="96">
        <v>0</v>
      </c>
      <c r="AG56" s="97"/>
      <c r="AH56" s="97"/>
      <c r="AI56" s="97"/>
      <c r="AJ56" s="98"/>
      <c r="AK56" s="96">
        <v>0</v>
      </c>
      <c r="AL56" s="97"/>
      <c r="AM56" s="97"/>
      <c r="AN56" s="98"/>
      <c r="AO56" s="96">
        <v>0</v>
      </c>
      <c r="AP56" s="97"/>
      <c r="AQ56" s="97"/>
      <c r="AR56" s="97"/>
      <c r="AS56" s="98"/>
      <c r="AT56" s="96"/>
      <c r="AU56" s="97"/>
      <c r="AV56" s="97"/>
      <c r="AW56" s="97"/>
      <c r="AX56" s="98"/>
      <c r="AY56" s="99"/>
      <c r="AZ56" s="100"/>
      <c r="BA56" s="100"/>
      <c r="BB56" s="101"/>
      <c r="BC56" s="99">
        <v>2500</v>
      </c>
      <c r="BD56" s="100"/>
      <c r="BE56" s="100"/>
      <c r="BF56" s="101"/>
      <c r="BH56" s="33">
        <f t="shared" si="4"/>
        <v>26660</v>
      </c>
      <c r="BI56" s="27"/>
      <c r="BJ56" s="27"/>
      <c r="BK56" s="80" t="e">
        <f>BH56-#REF!</f>
        <v>#REF!</v>
      </c>
      <c r="BL56" s="27"/>
    </row>
    <row r="57" spans="5:64" ht="15" thickBot="1" x14ac:dyDescent="0.2">
      <c r="E57" s="31" t="s">
        <v>84</v>
      </c>
      <c r="F57" s="81"/>
      <c r="G57" s="82"/>
      <c r="H57" s="82"/>
      <c r="I57" s="83"/>
      <c r="J57" s="81"/>
      <c r="K57" s="82"/>
      <c r="L57" s="82"/>
      <c r="M57" s="83"/>
      <c r="N57" s="81"/>
      <c r="O57" s="82"/>
      <c r="P57" s="82"/>
      <c r="Q57" s="82"/>
      <c r="R57" s="83"/>
      <c r="S57" s="81"/>
      <c r="T57" s="82"/>
      <c r="U57" s="82"/>
      <c r="V57" s="82"/>
      <c r="W57" s="83"/>
      <c r="X57" s="81"/>
      <c r="Y57" s="82"/>
      <c r="Z57" s="82"/>
      <c r="AA57" s="83"/>
      <c r="AB57" s="81"/>
      <c r="AC57" s="82"/>
      <c r="AD57" s="82"/>
      <c r="AE57" s="83"/>
      <c r="AF57" s="81"/>
      <c r="AG57" s="82"/>
      <c r="AH57" s="82"/>
      <c r="AI57" s="82"/>
      <c r="AJ57" s="83"/>
      <c r="AK57" s="81">
        <v>2500</v>
      </c>
      <c r="AL57" s="82"/>
      <c r="AM57" s="82"/>
      <c r="AN57" s="83"/>
      <c r="AO57" s="110">
        <v>0</v>
      </c>
      <c r="AP57" s="111"/>
      <c r="AQ57" s="111"/>
      <c r="AR57" s="111"/>
      <c r="AS57" s="112"/>
      <c r="AT57" s="81"/>
      <c r="AU57" s="82"/>
      <c r="AV57" s="82"/>
      <c r="AW57" s="82"/>
      <c r="AX57" s="83"/>
      <c r="AY57" s="99">
        <v>40322</v>
      </c>
      <c r="AZ57" s="100"/>
      <c r="BA57" s="100"/>
      <c r="BB57" s="101"/>
      <c r="BC57" s="113"/>
      <c r="BD57" s="114"/>
      <c r="BE57" s="114"/>
      <c r="BF57" s="115"/>
      <c r="BH57" s="33">
        <f t="shared" si="4"/>
        <v>42822</v>
      </c>
      <c r="BI57" s="27"/>
      <c r="BJ57" s="27"/>
      <c r="BK57" s="80" t="e">
        <f>BH57-#REF!</f>
        <v>#REF!</v>
      </c>
      <c r="BL57" s="27"/>
    </row>
    <row r="58" spans="5:64" ht="15" thickBot="1" x14ac:dyDescent="0.2">
      <c r="E58" s="31" t="s">
        <v>85</v>
      </c>
      <c r="F58" s="96">
        <v>10055.93</v>
      </c>
      <c r="G58" s="121"/>
      <c r="H58" s="121"/>
      <c r="I58" s="122"/>
      <c r="J58" s="96">
        <v>0</v>
      </c>
      <c r="K58" s="121"/>
      <c r="L58" s="121"/>
      <c r="M58" s="122"/>
      <c r="N58" s="96">
        <v>0</v>
      </c>
      <c r="O58" s="121"/>
      <c r="P58" s="121"/>
      <c r="Q58" s="121"/>
      <c r="R58" s="122"/>
      <c r="S58" s="96">
        <v>0</v>
      </c>
      <c r="T58" s="121"/>
      <c r="U58" s="121"/>
      <c r="V58" s="121"/>
      <c r="W58" s="122"/>
      <c r="X58" s="96">
        <v>31289.81</v>
      </c>
      <c r="Y58" s="121"/>
      <c r="Z58" s="121"/>
      <c r="AA58" s="122"/>
      <c r="AB58" s="96">
        <v>9601.86</v>
      </c>
      <c r="AC58" s="121"/>
      <c r="AD58" s="121"/>
      <c r="AE58" s="122"/>
      <c r="AF58" s="96">
        <v>0</v>
      </c>
      <c r="AG58" s="121"/>
      <c r="AH58" s="121"/>
      <c r="AI58" s="121"/>
      <c r="AJ58" s="122"/>
      <c r="AK58" s="96">
        <v>0</v>
      </c>
      <c r="AL58" s="121"/>
      <c r="AM58" s="121"/>
      <c r="AN58" s="122"/>
      <c r="AO58" s="123">
        <v>19914.93</v>
      </c>
      <c r="AP58" s="124"/>
      <c r="AQ58" s="124"/>
      <c r="AR58" s="124"/>
      <c r="AS58" s="125"/>
      <c r="AT58" s="96"/>
      <c r="AU58" s="121"/>
      <c r="AV58" s="121"/>
      <c r="AW58" s="121"/>
      <c r="AX58" s="122"/>
      <c r="AY58" s="99">
        <v>2906.55</v>
      </c>
      <c r="AZ58" s="126"/>
      <c r="BA58" s="126"/>
      <c r="BB58" s="127"/>
      <c r="BC58" s="99"/>
      <c r="BD58" s="126"/>
      <c r="BE58" s="126"/>
      <c r="BF58" s="127"/>
      <c r="BH58" s="33">
        <f t="shared" si="4"/>
        <v>73769.08</v>
      </c>
      <c r="BI58" s="27"/>
      <c r="BJ58" s="27"/>
      <c r="BK58" s="80" t="e">
        <f>BH58-#REF!</f>
        <v>#REF!</v>
      </c>
      <c r="BL58" s="27"/>
    </row>
    <row r="59" spans="5:64" ht="15" thickBot="1" x14ac:dyDescent="0.2">
      <c r="E59" s="31" t="s">
        <v>86</v>
      </c>
      <c r="F59" s="96">
        <v>0</v>
      </c>
      <c r="G59" s="97"/>
      <c r="H59" s="97"/>
      <c r="I59" s="98"/>
      <c r="J59" s="96">
        <v>0</v>
      </c>
      <c r="K59" s="97"/>
      <c r="L59" s="97"/>
      <c r="M59" s="98"/>
      <c r="N59" s="96">
        <v>0</v>
      </c>
      <c r="O59" s="97"/>
      <c r="P59" s="97"/>
      <c r="Q59" s="97"/>
      <c r="R59" s="98"/>
      <c r="S59" s="96">
        <v>1781.53</v>
      </c>
      <c r="T59" s="97"/>
      <c r="U59" s="97"/>
      <c r="V59" s="97"/>
      <c r="W59" s="98"/>
      <c r="X59" s="96">
        <v>0</v>
      </c>
      <c r="Y59" s="97"/>
      <c r="Z59" s="97"/>
      <c r="AA59" s="98"/>
      <c r="AB59" s="96">
        <v>14527.28</v>
      </c>
      <c r="AC59" s="97"/>
      <c r="AD59" s="97"/>
      <c r="AE59" s="98"/>
      <c r="AF59" s="96">
        <v>1641.1</v>
      </c>
      <c r="AG59" s="97"/>
      <c r="AH59" s="97"/>
      <c r="AI59" s="97"/>
      <c r="AJ59" s="98"/>
      <c r="AK59" s="96">
        <v>7968.71</v>
      </c>
      <c r="AL59" s="97"/>
      <c r="AM59" s="97"/>
      <c r="AN59" s="98"/>
      <c r="AO59" s="96">
        <v>5379.28</v>
      </c>
      <c r="AP59" s="97"/>
      <c r="AQ59" s="97"/>
      <c r="AR59" s="97"/>
      <c r="AS59" s="98"/>
      <c r="AT59" s="96">
        <v>1821.53</v>
      </c>
      <c r="AU59" s="97"/>
      <c r="AV59" s="97"/>
      <c r="AW59" s="97"/>
      <c r="AX59" s="98"/>
      <c r="AY59" s="99">
        <v>1568.95</v>
      </c>
      <c r="AZ59" s="100"/>
      <c r="BA59" s="100"/>
      <c r="BB59" s="101"/>
      <c r="BC59" s="99"/>
      <c r="BD59" s="100"/>
      <c r="BE59" s="100"/>
      <c r="BF59" s="101"/>
      <c r="BH59" s="33">
        <f t="shared" si="4"/>
        <v>34688.379999999997</v>
      </c>
      <c r="BI59" s="27"/>
      <c r="BJ59" s="27"/>
      <c r="BK59" s="80" t="e">
        <f>BH59-#REF!</f>
        <v>#REF!</v>
      </c>
      <c r="BL59" s="27"/>
    </row>
    <row r="60" spans="5:64" ht="15" thickBot="1" x14ac:dyDescent="0.2">
      <c r="E60" s="31" t="s">
        <v>87</v>
      </c>
      <c r="F60" s="96">
        <v>0</v>
      </c>
      <c r="G60" s="97"/>
      <c r="H60" s="97"/>
      <c r="I60" s="98"/>
      <c r="J60" s="96">
        <v>0</v>
      </c>
      <c r="K60" s="97"/>
      <c r="L60" s="97"/>
      <c r="M60" s="98"/>
      <c r="N60" s="96">
        <v>0</v>
      </c>
      <c r="O60" s="97"/>
      <c r="P60" s="97"/>
      <c r="Q60" s="97"/>
      <c r="R60" s="98"/>
      <c r="S60" s="96">
        <v>0</v>
      </c>
      <c r="T60" s="97"/>
      <c r="U60" s="97"/>
      <c r="V60" s="97"/>
      <c r="W60" s="98"/>
      <c r="X60" s="96">
        <v>602</v>
      </c>
      <c r="Y60" s="97"/>
      <c r="Z60" s="97"/>
      <c r="AA60" s="98"/>
      <c r="AB60" s="96">
        <v>1806</v>
      </c>
      <c r="AC60" s="97"/>
      <c r="AD60" s="97"/>
      <c r="AE60" s="98"/>
      <c r="AF60" s="96">
        <v>0</v>
      </c>
      <c r="AG60" s="97"/>
      <c r="AH60" s="97"/>
      <c r="AI60" s="97"/>
      <c r="AJ60" s="98"/>
      <c r="AK60" s="96">
        <v>0</v>
      </c>
      <c r="AL60" s="97"/>
      <c r="AM60" s="97"/>
      <c r="AN60" s="98"/>
      <c r="AO60" s="96">
        <v>1204</v>
      </c>
      <c r="AP60" s="97"/>
      <c r="AQ60" s="97"/>
      <c r="AR60" s="97"/>
      <c r="AS60" s="98"/>
      <c r="AT60" s="96"/>
      <c r="AU60" s="97"/>
      <c r="AV60" s="97"/>
      <c r="AW60" s="97"/>
      <c r="AX60" s="98"/>
      <c r="AY60" s="99">
        <v>602</v>
      </c>
      <c r="AZ60" s="100"/>
      <c r="BA60" s="100"/>
      <c r="BB60" s="101"/>
      <c r="BC60" s="99"/>
      <c r="BD60" s="100"/>
      <c r="BE60" s="100"/>
      <c r="BF60" s="101"/>
      <c r="BH60" s="33">
        <f t="shared" si="4"/>
        <v>4214</v>
      </c>
      <c r="BI60" s="27"/>
      <c r="BJ60" s="27"/>
      <c r="BK60" s="80" t="e">
        <f>BH60-#REF!</f>
        <v>#REF!</v>
      </c>
      <c r="BL60" s="27"/>
    </row>
    <row r="61" spans="5:64" ht="15" thickBot="1" x14ac:dyDescent="0.2">
      <c r="E61" s="36" t="s">
        <v>88</v>
      </c>
      <c r="F61" s="96">
        <v>20295</v>
      </c>
      <c r="G61" s="97"/>
      <c r="H61" s="97"/>
      <c r="I61" s="98"/>
      <c r="J61" s="96">
        <v>20295</v>
      </c>
      <c r="K61" s="97"/>
      <c r="L61" s="97"/>
      <c r="M61" s="98"/>
      <c r="N61" s="96">
        <v>20295</v>
      </c>
      <c r="O61" s="97"/>
      <c r="P61" s="97"/>
      <c r="Q61" s="97"/>
      <c r="R61" s="98"/>
      <c r="S61" s="96">
        <v>20295</v>
      </c>
      <c r="T61" s="97"/>
      <c r="U61" s="97"/>
      <c r="V61" s="97"/>
      <c r="W61" s="98"/>
      <c r="X61" s="96">
        <v>20295</v>
      </c>
      <c r="Y61" s="97"/>
      <c r="Z61" s="97"/>
      <c r="AA61" s="98"/>
      <c r="AB61" s="96">
        <v>20295</v>
      </c>
      <c r="AC61" s="97"/>
      <c r="AD61" s="97"/>
      <c r="AE61" s="98"/>
      <c r="AF61" s="96">
        <v>20295</v>
      </c>
      <c r="AG61" s="97"/>
      <c r="AH61" s="97"/>
      <c r="AI61" s="97"/>
      <c r="AJ61" s="98"/>
      <c r="AK61" s="96">
        <v>20295</v>
      </c>
      <c r="AL61" s="97"/>
      <c r="AM61" s="97"/>
      <c r="AN61" s="98"/>
      <c r="AO61" s="96">
        <v>20295</v>
      </c>
      <c r="AP61" s="97"/>
      <c r="AQ61" s="97"/>
      <c r="AR61" s="97"/>
      <c r="AS61" s="98"/>
      <c r="AT61" s="96">
        <v>20295</v>
      </c>
      <c r="AU61" s="97"/>
      <c r="AV61" s="97"/>
      <c r="AW61" s="97"/>
      <c r="AX61" s="98"/>
      <c r="AY61" s="99">
        <v>20295</v>
      </c>
      <c r="AZ61" s="100"/>
      <c r="BA61" s="100"/>
      <c r="BB61" s="101"/>
      <c r="BC61" s="99">
        <v>20295</v>
      </c>
      <c r="BD61" s="100"/>
      <c r="BE61" s="100"/>
      <c r="BF61" s="101"/>
      <c r="BH61" s="33">
        <f t="shared" si="4"/>
        <v>243540</v>
      </c>
      <c r="BI61" s="27"/>
      <c r="BJ61" s="27"/>
      <c r="BK61" s="80" t="e">
        <f>BH61-#REF!</f>
        <v>#REF!</v>
      </c>
      <c r="BL61" s="27"/>
    </row>
    <row r="62" spans="5:64" ht="19" thickBot="1" x14ac:dyDescent="0.25">
      <c r="E62" s="40" t="s">
        <v>89</v>
      </c>
      <c r="F62" s="116">
        <f>SUM(F52:F61)</f>
        <v>40450.959999999999</v>
      </c>
      <c r="G62" s="97"/>
      <c r="H62" s="97"/>
      <c r="I62" s="98"/>
      <c r="J62" s="116">
        <f>SUM(J52:J61)</f>
        <v>50039.605047500001</v>
      </c>
      <c r="K62" s="97"/>
      <c r="L62" s="97"/>
      <c r="M62" s="98"/>
      <c r="N62" s="116">
        <f>SUM(N52:N61)</f>
        <v>113082.56</v>
      </c>
      <c r="O62" s="97"/>
      <c r="P62" s="97"/>
      <c r="Q62" s="97"/>
      <c r="R62" s="98"/>
      <c r="S62" s="116">
        <f>SUM(S52:S61)</f>
        <v>39649.729999999996</v>
      </c>
      <c r="T62" s="97"/>
      <c r="U62" s="97"/>
      <c r="V62" s="97"/>
      <c r="W62" s="98"/>
      <c r="X62" s="116">
        <f>SUM(X52:X61)</f>
        <v>143549.81</v>
      </c>
      <c r="Y62" s="97"/>
      <c r="Z62" s="97"/>
      <c r="AA62" s="98"/>
      <c r="AB62" s="116">
        <f>SUM(AB52:AB61)</f>
        <v>148071.69</v>
      </c>
      <c r="AC62" s="97"/>
      <c r="AD62" s="97"/>
      <c r="AE62" s="98"/>
      <c r="AF62" s="116">
        <f>SUM(AF52:AF61)</f>
        <v>67271.64</v>
      </c>
      <c r="AG62" s="97"/>
      <c r="AH62" s="97"/>
      <c r="AI62" s="97"/>
      <c r="AJ62" s="98"/>
      <c r="AK62" s="116">
        <f>SUM(AK52:AK61)</f>
        <v>73533.790000000008</v>
      </c>
      <c r="AL62" s="97"/>
      <c r="AM62" s="97"/>
      <c r="AN62" s="98"/>
      <c r="AO62" s="116">
        <f>SUM(AO52:AO61)</f>
        <v>104204.19</v>
      </c>
      <c r="AP62" s="97"/>
      <c r="AQ62" s="97"/>
      <c r="AR62" s="97"/>
      <c r="AS62" s="98"/>
      <c r="AT62" s="116">
        <f>SUM(AT52:AT61)</f>
        <v>38466.869999999995</v>
      </c>
      <c r="AU62" s="97"/>
      <c r="AV62" s="97"/>
      <c r="AW62" s="97"/>
      <c r="AX62" s="98"/>
      <c r="AY62" s="94">
        <f>SUM(AY52:AY61)</f>
        <v>102702.98775500001</v>
      </c>
      <c r="AZ62" s="100"/>
      <c r="BA62" s="100"/>
      <c r="BB62" s="101"/>
      <c r="BC62" s="94">
        <f>SUM(BC52:BC61)</f>
        <v>30793.321655</v>
      </c>
      <c r="BD62" s="100"/>
      <c r="BE62" s="100"/>
      <c r="BF62" s="101"/>
      <c r="BH62" s="33">
        <f>SUM(F62:BF62)</f>
        <v>951817.15445750009</v>
      </c>
      <c r="BI62" s="60"/>
      <c r="BJ62" s="60"/>
      <c r="BK62" s="49" t="e">
        <f>SUM(BK52:BK61)</f>
        <v>#REF!</v>
      </c>
      <c r="BL62" s="60"/>
    </row>
    <row r="64" spans="5:64" ht="15.75" customHeight="1" thickBot="1" x14ac:dyDescent="0.2"/>
    <row r="65" spans="5:69" ht="19" thickBot="1" x14ac:dyDescent="0.25">
      <c r="E65" s="40" t="s">
        <v>90</v>
      </c>
      <c r="F65" s="116">
        <f>F62+F40</f>
        <v>104360.56</v>
      </c>
      <c r="G65" s="97"/>
      <c r="H65" s="97"/>
      <c r="I65" s="98"/>
      <c r="J65" s="116">
        <f>J62+J40</f>
        <v>103802.8350475</v>
      </c>
      <c r="K65" s="97"/>
      <c r="L65" s="97"/>
      <c r="M65" s="98"/>
      <c r="N65" s="116">
        <f>N62+N40</f>
        <v>248258.81</v>
      </c>
      <c r="O65" s="97"/>
      <c r="P65" s="97"/>
      <c r="Q65" s="97"/>
      <c r="R65" s="98"/>
      <c r="S65" s="116">
        <f>S62+S40</f>
        <v>203694.91999999998</v>
      </c>
      <c r="T65" s="97"/>
      <c r="U65" s="97"/>
      <c r="V65" s="97"/>
      <c r="W65" s="98"/>
      <c r="X65" s="116">
        <f>X62+X40</f>
        <v>613284.24</v>
      </c>
      <c r="Y65" s="97"/>
      <c r="Z65" s="97"/>
      <c r="AA65" s="98"/>
      <c r="AB65" s="116">
        <f>AB62+AB40</f>
        <v>765446.12999999989</v>
      </c>
      <c r="AC65" s="97"/>
      <c r="AD65" s="97"/>
      <c r="AE65" s="98"/>
      <c r="AF65" s="116">
        <f>AF62+AF40</f>
        <v>601227.67000000004</v>
      </c>
      <c r="AG65" s="97"/>
      <c r="AH65" s="97"/>
      <c r="AI65" s="97"/>
      <c r="AJ65" s="98"/>
      <c r="AK65" s="117">
        <f>AK62+AK40</f>
        <v>362548.54000000004</v>
      </c>
      <c r="AL65" s="116"/>
      <c r="AM65" s="116"/>
      <c r="AN65" s="118"/>
      <c r="AO65" s="91">
        <f>AO62+AO40</f>
        <v>556547.74</v>
      </c>
      <c r="AP65" s="119"/>
      <c r="AQ65" s="119"/>
      <c r="AR65" s="119"/>
      <c r="AS65" s="120"/>
      <c r="AT65" s="90">
        <f>AT62+AT40</f>
        <v>202663.41999999998</v>
      </c>
      <c r="AU65" s="91"/>
      <c r="AV65" s="91"/>
      <c r="AW65" s="91"/>
      <c r="AX65" s="92"/>
      <c r="AY65" s="93">
        <f>AY62+AY40</f>
        <v>355830.32775500003</v>
      </c>
      <c r="AZ65" s="94"/>
      <c r="BA65" s="94"/>
      <c r="BB65" s="95"/>
      <c r="BC65" s="93">
        <f>BC62+BC40</f>
        <v>121425.86165500002</v>
      </c>
      <c r="BD65" s="94"/>
      <c r="BE65" s="94"/>
      <c r="BF65" s="95"/>
      <c r="BH65" s="33">
        <f>SUM(F65:BF65)</f>
        <v>4239091.0544574996</v>
      </c>
      <c r="BK65" s="61" t="e">
        <f>BK62+BK40</f>
        <v>#REF!</v>
      </c>
      <c r="BP65" s="70" t="s">
        <v>91</v>
      </c>
    </row>
    <row r="66" spans="5:69" ht="13" x14ac:dyDescent="0.15">
      <c r="BH66" s="32">
        <f>BH65+505000</f>
        <v>4744091.0544574996</v>
      </c>
    </row>
    <row r="67" spans="5:69" ht="15.75" customHeight="1" x14ac:dyDescent="0.15">
      <c r="BH67" s="67">
        <v>4239000</v>
      </c>
    </row>
    <row r="68" spans="5:69" ht="13" x14ac:dyDescent="0.15">
      <c r="BH68" s="69">
        <f>BH65-BH67</f>
        <v>91.05445749964565</v>
      </c>
    </row>
    <row r="69" spans="5:69" ht="13" x14ac:dyDescent="0.15">
      <c r="E69" s="16"/>
      <c r="BB69" s="103" t="s">
        <v>92</v>
      </c>
      <c r="BC69" s="104"/>
      <c r="BD69" s="104"/>
      <c r="BE69" s="104"/>
      <c r="BF69" s="104"/>
      <c r="BG69" s="104"/>
      <c r="BP69" s="66" t="s">
        <v>93</v>
      </c>
      <c r="BQ69" s="71">
        <f>20000-13200</f>
        <v>6800</v>
      </c>
    </row>
    <row r="70" spans="5:69" ht="13" x14ac:dyDescent="0.15">
      <c r="AS70" s="68"/>
      <c r="BB70" s="16" t="s">
        <v>94</v>
      </c>
      <c r="BD70" s="105">
        <f>BH62</f>
        <v>951817.15445750009</v>
      </c>
      <c r="BE70" s="104"/>
      <c r="BF70" s="104"/>
      <c r="BG70" s="104"/>
      <c r="BH70" s="52">
        <f>BD70/BH66</f>
        <v>0.20063214291875414</v>
      </c>
      <c r="BP70" s="66" t="s">
        <v>95</v>
      </c>
      <c r="BQ70" s="71">
        <f>50000-40322</f>
        <v>9678</v>
      </c>
    </row>
    <row r="71" spans="5:69" ht="13" x14ac:dyDescent="0.15">
      <c r="BB71" s="16" t="s">
        <v>22</v>
      </c>
      <c r="BD71" s="105">
        <f>BH44</f>
        <v>3792273.8999999994</v>
      </c>
      <c r="BE71" s="104"/>
      <c r="BF71" s="104"/>
      <c r="BG71" s="104"/>
      <c r="BH71" s="52">
        <f>BD71/BH66</f>
        <v>0.7993678570812458</v>
      </c>
      <c r="BP71" s="66" t="s">
        <v>96</v>
      </c>
      <c r="BQ71" s="71">
        <f>5000-2843.8</f>
        <v>2156.1999999999998</v>
      </c>
    </row>
    <row r="72" spans="5:69" ht="13" x14ac:dyDescent="0.15">
      <c r="BB72" s="16"/>
      <c r="BD72" s="32"/>
      <c r="BH72" s="52"/>
      <c r="BP72" s="66" t="s">
        <v>97</v>
      </c>
      <c r="BQ72" s="71">
        <f>1000-600</f>
        <v>400</v>
      </c>
    </row>
    <row r="73" spans="5:69" ht="13" x14ac:dyDescent="0.15">
      <c r="BB73" s="16"/>
      <c r="BD73" s="32"/>
      <c r="BH73" s="52"/>
      <c r="BP73" s="66" t="s">
        <v>98</v>
      </c>
      <c r="BQ73" s="71">
        <f>1500-1000</f>
        <v>500</v>
      </c>
    </row>
    <row r="74" spans="5:69" ht="15.75" customHeight="1" x14ac:dyDescent="0.15">
      <c r="BP74" s="66" t="s">
        <v>99</v>
      </c>
      <c r="BQ74" s="71">
        <f>8000-5000</f>
        <v>3000</v>
      </c>
    </row>
    <row r="75" spans="5:69" ht="15.75" customHeight="1" x14ac:dyDescent="0.15">
      <c r="BP75" s="66" t="s">
        <v>100</v>
      </c>
      <c r="BQ75" s="71">
        <v>8250</v>
      </c>
    </row>
    <row r="76" spans="5:69" ht="15.75" customHeight="1" x14ac:dyDescent="0.15">
      <c r="BQ76" s="71">
        <f>BQ69+BQ70+BQ71+BQ75+BQ72+BQ73+BQ74</f>
        <v>30784.2</v>
      </c>
    </row>
    <row r="77" spans="5:69" ht="15.75" customHeight="1" x14ac:dyDescent="0.15">
      <c r="BQ77" s="72">
        <f>BH68-BQ76</f>
        <v>-30693.145542500355</v>
      </c>
    </row>
    <row r="78" spans="5:69" ht="15.75" customHeight="1" x14ac:dyDescent="0.15">
      <c r="BP78" s="66" t="s">
        <v>101</v>
      </c>
      <c r="BQ78" s="73">
        <f>5952-4914.08</f>
        <v>1037.92</v>
      </c>
    </row>
    <row r="79" spans="5:69" ht="15.75" customHeight="1" x14ac:dyDescent="0.15">
      <c r="BQ79" s="69">
        <f>BQ77+BQ78</f>
        <v>-29655.225542500353</v>
      </c>
    </row>
    <row r="80" spans="5:69" ht="15.75" customHeight="1" x14ac:dyDescent="0.15">
      <c r="BH80" s="69"/>
    </row>
    <row r="154" spans="63:64" ht="14" x14ac:dyDescent="0.2">
      <c r="BK154" s="62"/>
    </row>
    <row r="155" spans="63:64" ht="13" x14ac:dyDescent="0.15">
      <c r="BK155" s="16"/>
      <c r="BL155" s="16"/>
    </row>
    <row r="156" spans="63:64" ht="13" x14ac:dyDescent="0.15">
      <c r="BK156" s="16"/>
      <c r="BL156" s="16"/>
    </row>
    <row r="157" spans="63:64" ht="13" x14ac:dyDescent="0.15">
      <c r="BK157" s="16"/>
      <c r="BL157" s="16"/>
    </row>
    <row r="158" spans="63:64" ht="13" x14ac:dyDescent="0.15">
      <c r="BK158" s="16"/>
      <c r="BL158" s="16"/>
    </row>
  </sheetData>
  <mergeCells count="535">
    <mergeCell ref="F1:AB2"/>
    <mergeCell ref="F4:Y4"/>
    <mergeCell ref="T5:V5"/>
    <mergeCell ref="Y5:AA5"/>
    <mergeCell ref="F6:I6"/>
    <mergeCell ref="J6:M6"/>
    <mergeCell ref="N6:R6"/>
    <mergeCell ref="S6:W6"/>
    <mergeCell ref="X6:AA6"/>
    <mergeCell ref="AB6:AE6"/>
    <mergeCell ref="S8:T8"/>
    <mergeCell ref="F13:I13"/>
    <mergeCell ref="J13:M13"/>
    <mergeCell ref="N13:R13"/>
    <mergeCell ref="S13:W13"/>
    <mergeCell ref="X13:AA13"/>
    <mergeCell ref="AB13:AE13"/>
    <mergeCell ref="S12:W12"/>
    <mergeCell ref="X12:AA12"/>
    <mergeCell ref="AB12:AE12"/>
    <mergeCell ref="AB23:AE23"/>
    <mergeCell ref="F25:I25"/>
    <mergeCell ref="J25:M25"/>
    <mergeCell ref="N25:R25"/>
    <mergeCell ref="S25:W25"/>
    <mergeCell ref="X25:AA25"/>
    <mergeCell ref="AB25:AE25"/>
    <mergeCell ref="AB26:AE26"/>
    <mergeCell ref="J39:M39"/>
    <mergeCell ref="N39:R39"/>
    <mergeCell ref="F40:I40"/>
    <mergeCell ref="AF6:AJ6"/>
    <mergeCell ref="AK6:AN6"/>
    <mergeCell ref="AP6:AS6"/>
    <mergeCell ref="AT6:AX6"/>
    <mergeCell ref="AY6:BB6"/>
    <mergeCell ref="BC6:BF6"/>
    <mergeCell ref="F7:I7"/>
    <mergeCell ref="J7:M7"/>
    <mergeCell ref="N7:R7"/>
    <mergeCell ref="S7:W7"/>
    <mergeCell ref="X7:AA7"/>
    <mergeCell ref="AB7:AE7"/>
    <mergeCell ref="AF7:AJ7"/>
    <mergeCell ref="AK7:AN7"/>
    <mergeCell ref="AP7:AS7"/>
    <mergeCell ref="AT7:AX7"/>
    <mergeCell ref="AY7:BB7"/>
    <mergeCell ref="BC7:BF7"/>
    <mergeCell ref="AT11:AX11"/>
    <mergeCell ref="AY11:BB11"/>
    <mergeCell ref="BC11:BF11"/>
    <mergeCell ref="F12:I12"/>
    <mergeCell ref="J12:M12"/>
    <mergeCell ref="N12:R12"/>
    <mergeCell ref="AF12:AJ12"/>
    <mergeCell ref="AK12:AN12"/>
    <mergeCell ref="AT12:AX12"/>
    <mergeCell ref="AY12:BB12"/>
    <mergeCell ref="BC12:BF12"/>
    <mergeCell ref="AP8:AQ8"/>
    <mergeCell ref="X10:AA10"/>
    <mergeCell ref="AB10:AE10"/>
    <mergeCell ref="AF10:AJ10"/>
    <mergeCell ref="F11:I11"/>
    <mergeCell ref="J11:M11"/>
    <mergeCell ref="N11:R11"/>
    <mergeCell ref="S11:W11"/>
    <mergeCell ref="X11:AA11"/>
    <mergeCell ref="AB11:AE11"/>
    <mergeCell ref="AF11:AJ11"/>
    <mergeCell ref="AK11:AN11"/>
    <mergeCell ref="AO11:AS11"/>
    <mergeCell ref="AO12:AS12"/>
    <mergeCell ref="AF13:AJ13"/>
    <mergeCell ref="AK13:AN13"/>
    <mergeCell ref="AT13:AX13"/>
    <mergeCell ref="AY13:BB13"/>
    <mergeCell ref="BC13:BF13"/>
    <mergeCell ref="F14:I14"/>
    <mergeCell ref="J14:M14"/>
    <mergeCell ref="N14:R14"/>
    <mergeCell ref="S14:W14"/>
    <mergeCell ref="X14:AA14"/>
    <mergeCell ref="AB14:AE14"/>
    <mergeCell ref="AF14:AJ14"/>
    <mergeCell ref="AK14:AN14"/>
    <mergeCell ref="AT14:AX14"/>
    <mergeCell ref="AY14:BB14"/>
    <mergeCell ref="BC14:BF14"/>
    <mergeCell ref="AO13:AS13"/>
    <mergeCell ref="AO14:AS14"/>
    <mergeCell ref="AT15:AX15"/>
    <mergeCell ref="AY15:BB15"/>
    <mergeCell ref="BC15:BF15"/>
    <mergeCell ref="F19:I19"/>
    <mergeCell ref="J19:M19"/>
    <mergeCell ref="N19:R19"/>
    <mergeCell ref="S19:W19"/>
    <mergeCell ref="X19:AA19"/>
    <mergeCell ref="AB19:AE19"/>
    <mergeCell ref="AF19:AJ19"/>
    <mergeCell ref="AK19:AN19"/>
    <mergeCell ref="AT19:AX19"/>
    <mergeCell ref="AY19:BB19"/>
    <mergeCell ref="BC19:BF19"/>
    <mergeCell ref="F15:I15"/>
    <mergeCell ref="J15:M15"/>
    <mergeCell ref="N15:R15"/>
    <mergeCell ref="S15:W15"/>
    <mergeCell ref="X15:AA15"/>
    <mergeCell ref="AB15:AE15"/>
    <mergeCell ref="AF15:AJ15"/>
    <mergeCell ref="AK15:AN15"/>
    <mergeCell ref="AO15:AS15"/>
    <mergeCell ref="AO19:AS19"/>
    <mergeCell ref="AT24:AX24"/>
    <mergeCell ref="AY24:BB24"/>
    <mergeCell ref="BC24:BF24"/>
    <mergeCell ref="AO22:AS22"/>
    <mergeCell ref="AO23:AS23"/>
    <mergeCell ref="AO24:AS24"/>
    <mergeCell ref="AT20:AX20"/>
    <mergeCell ref="AY20:BB20"/>
    <mergeCell ref="BC20:BF20"/>
    <mergeCell ref="F21:I21"/>
    <mergeCell ref="J21:M21"/>
    <mergeCell ref="N21:R21"/>
    <mergeCell ref="S21:W21"/>
    <mergeCell ref="X21:AA21"/>
    <mergeCell ref="AB21:AE21"/>
    <mergeCell ref="AF21:AJ21"/>
    <mergeCell ref="AK21:AN21"/>
    <mergeCell ref="AT21:AX21"/>
    <mergeCell ref="AY21:BB21"/>
    <mergeCell ref="BC21:BF21"/>
    <mergeCell ref="F20:I20"/>
    <mergeCell ref="J20:M20"/>
    <mergeCell ref="N20:R20"/>
    <mergeCell ref="S20:W20"/>
    <mergeCell ref="X20:AA20"/>
    <mergeCell ref="AB20:AE20"/>
    <mergeCell ref="AF20:AJ20"/>
    <mergeCell ref="AK20:AN20"/>
    <mergeCell ref="AO20:AS20"/>
    <mergeCell ref="AO21:AS21"/>
    <mergeCell ref="AT22:AX22"/>
    <mergeCell ref="AY22:BB22"/>
    <mergeCell ref="BC22:BF22"/>
    <mergeCell ref="F23:I23"/>
    <mergeCell ref="J23:M23"/>
    <mergeCell ref="N23:R23"/>
    <mergeCell ref="S23:W23"/>
    <mergeCell ref="X23:AA23"/>
    <mergeCell ref="AF23:AJ23"/>
    <mergeCell ref="AK23:AN23"/>
    <mergeCell ref="AT23:AX23"/>
    <mergeCell ref="AY23:BB23"/>
    <mergeCell ref="BC23:BF23"/>
    <mergeCell ref="F22:I22"/>
    <mergeCell ref="J22:M22"/>
    <mergeCell ref="N22:R22"/>
    <mergeCell ref="S22:W22"/>
    <mergeCell ref="X22:AA22"/>
    <mergeCell ref="AB22:AE22"/>
    <mergeCell ref="AF22:AJ22"/>
    <mergeCell ref="AK22:AN22"/>
    <mergeCell ref="AF25:AJ25"/>
    <mergeCell ref="AK25:AN25"/>
    <mergeCell ref="AT25:AX25"/>
    <mergeCell ref="AY25:BB25"/>
    <mergeCell ref="BC25:BF25"/>
    <mergeCell ref="F24:I24"/>
    <mergeCell ref="J24:M24"/>
    <mergeCell ref="N24:R24"/>
    <mergeCell ref="S24:W24"/>
    <mergeCell ref="X24:AA24"/>
    <mergeCell ref="AT26:AX26"/>
    <mergeCell ref="AY26:BB26"/>
    <mergeCell ref="BC26:BF26"/>
    <mergeCell ref="BK26:BK27"/>
    <mergeCell ref="F27:I27"/>
    <mergeCell ref="J27:M27"/>
    <mergeCell ref="N27:R27"/>
    <mergeCell ref="S27:W27"/>
    <mergeCell ref="X27:AA27"/>
    <mergeCell ref="AB27:AE27"/>
    <mergeCell ref="AF27:AJ27"/>
    <mergeCell ref="AK27:AN27"/>
    <mergeCell ref="AT27:AX27"/>
    <mergeCell ref="AY27:BB27"/>
    <mergeCell ref="BC27:BF27"/>
    <mergeCell ref="F26:I26"/>
    <mergeCell ref="J26:M26"/>
    <mergeCell ref="N26:R26"/>
    <mergeCell ref="S26:W26"/>
    <mergeCell ref="X26:AA26"/>
    <mergeCell ref="AF24:AJ24"/>
    <mergeCell ref="AK24:AN24"/>
    <mergeCell ref="AF26:AJ26"/>
    <mergeCell ref="AK26:AN26"/>
    <mergeCell ref="AT28:AX28"/>
    <mergeCell ref="AY28:BB28"/>
    <mergeCell ref="BC28:BF28"/>
    <mergeCell ref="BK28:BK29"/>
    <mergeCell ref="F29:I29"/>
    <mergeCell ref="J29:M29"/>
    <mergeCell ref="N29:R29"/>
    <mergeCell ref="S29:W29"/>
    <mergeCell ref="X29:AA29"/>
    <mergeCell ref="AB29:AE29"/>
    <mergeCell ref="AF29:AJ29"/>
    <mergeCell ref="AK29:AN29"/>
    <mergeCell ref="AT29:AX29"/>
    <mergeCell ref="AY29:BB29"/>
    <mergeCell ref="BC29:BF29"/>
    <mergeCell ref="F28:I28"/>
    <mergeCell ref="J28:M28"/>
    <mergeCell ref="N28:R28"/>
    <mergeCell ref="S28:W28"/>
    <mergeCell ref="X28:AA28"/>
    <mergeCell ref="AB28:AE28"/>
    <mergeCell ref="AF28:AJ28"/>
    <mergeCell ref="AK28:AN28"/>
    <mergeCell ref="BC30:BF30"/>
    <mergeCell ref="F31:I31"/>
    <mergeCell ref="J31:M31"/>
    <mergeCell ref="N31:R31"/>
    <mergeCell ref="S31:W31"/>
    <mergeCell ref="X31:AA31"/>
    <mergeCell ref="AB31:AE31"/>
    <mergeCell ref="AF31:AJ31"/>
    <mergeCell ref="AK31:AN31"/>
    <mergeCell ref="AT31:AX31"/>
    <mergeCell ref="AY31:BB31"/>
    <mergeCell ref="BC31:BF31"/>
    <mergeCell ref="F30:I30"/>
    <mergeCell ref="J30:M30"/>
    <mergeCell ref="N30:R30"/>
    <mergeCell ref="S30:W30"/>
    <mergeCell ref="X30:AA30"/>
    <mergeCell ref="AB30:AE30"/>
    <mergeCell ref="AF30:AJ30"/>
    <mergeCell ref="AK30:AN30"/>
    <mergeCell ref="BC32:BF32"/>
    <mergeCell ref="F36:I36"/>
    <mergeCell ref="J36:M36"/>
    <mergeCell ref="N36:R36"/>
    <mergeCell ref="S36:W36"/>
    <mergeCell ref="X36:AA36"/>
    <mergeCell ref="AB36:AE36"/>
    <mergeCell ref="AF36:AJ36"/>
    <mergeCell ref="AK36:AN36"/>
    <mergeCell ref="AT36:AX36"/>
    <mergeCell ref="AY36:BB36"/>
    <mergeCell ref="BC36:BF36"/>
    <mergeCell ref="F32:I32"/>
    <mergeCell ref="J32:M32"/>
    <mergeCell ref="N32:R32"/>
    <mergeCell ref="S32:W32"/>
    <mergeCell ref="X32:AA32"/>
    <mergeCell ref="AB32:AE32"/>
    <mergeCell ref="AF32:AJ32"/>
    <mergeCell ref="AK32:AN32"/>
    <mergeCell ref="BC37:BF37"/>
    <mergeCell ref="F38:I38"/>
    <mergeCell ref="J38:M38"/>
    <mergeCell ref="N38:R38"/>
    <mergeCell ref="S38:W38"/>
    <mergeCell ref="X38:AA38"/>
    <mergeCell ref="AB38:AE38"/>
    <mergeCell ref="AF38:AJ38"/>
    <mergeCell ref="AK38:AN38"/>
    <mergeCell ref="AT38:AX38"/>
    <mergeCell ref="AY38:BB38"/>
    <mergeCell ref="BC38:BF38"/>
    <mergeCell ref="F37:I37"/>
    <mergeCell ref="J37:M37"/>
    <mergeCell ref="N37:R37"/>
    <mergeCell ref="S37:W37"/>
    <mergeCell ref="X37:AA37"/>
    <mergeCell ref="AB37:AE37"/>
    <mergeCell ref="AF37:AJ37"/>
    <mergeCell ref="AK37:AN37"/>
    <mergeCell ref="BC40:BF40"/>
    <mergeCell ref="F41:I41"/>
    <mergeCell ref="J41:M41"/>
    <mergeCell ref="N41:R41"/>
    <mergeCell ref="S41:W41"/>
    <mergeCell ref="X41:AA41"/>
    <mergeCell ref="AB41:AE41"/>
    <mergeCell ref="AF41:AJ41"/>
    <mergeCell ref="AK41:AN41"/>
    <mergeCell ref="AT41:AX41"/>
    <mergeCell ref="AY41:BB41"/>
    <mergeCell ref="BC41:BF41"/>
    <mergeCell ref="AF44:AJ44"/>
    <mergeCell ref="AK44:AN44"/>
    <mergeCell ref="AO44:AS44"/>
    <mergeCell ref="AT42:AX42"/>
    <mergeCell ref="AY42:BB42"/>
    <mergeCell ref="BC42:BF42"/>
    <mergeCell ref="F43:I43"/>
    <mergeCell ref="J43:M43"/>
    <mergeCell ref="N43:R43"/>
    <mergeCell ref="S43:W43"/>
    <mergeCell ref="X43:AA43"/>
    <mergeCell ref="AB43:AE43"/>
    <mergeCell ref="AF43:AJ43"/>
    <mergeCell ref="AK43:AN43"/>
    <mergeCell ref="AO43:AS43"/>
    <mergeCell ref="AT43:AX43"/>
    <mergeCell ref="AY43:BB43"/>
    <mergeCell ref="BC43:BF43"/>
    <mergeCell ref="J40:M40"/>
    <mergeCell ref="N40:R40"/>
    <mergeCell ref="F42:I42"/>
    <mergeCell ref="J42:M42"/>
    <mergeCell ref="N42:R42"/>
    <mergeCell ref="S42:W42"/>
    <mergeCell ref="X42:AA42"/>
    <mergeCell ref="AB42:AE42"/>
    <mergeCell ref="AF42:AJ42"/>
    <mergeCell ref="AK42:AN42"/>
    <mergeCell ref="S47:W47"/>
    <mergeCell ref="AB47:AE47"/>
    <mergeCell ref="AF47:AJ47"/>
    <mergeCell ref="AK47:AN47"/>
    <mergeCell ref="AY47:BB47"/>
    <mergeCell ref="AB48:AE48"/>
    <mergeCell ref="AF48:AJ48"/>
    <mergeCell ref="AF49:AJ49"/>
    <mergeCell ref="AY40:BB40"/>
    <mergeCell ref="S40:W40"/>
    <mergeCell ref="X40:AA40"/>
    <mergeCell ref="AB40:AE40"/>
    <mergeCell ref="AF40:AJ40"/>
    <mergeCell ref="AK40:AN40"/>
    <mergeCell ref="AT40:AX40"/>
    <mergeCell ref="F51:I51"/>
    <mergeCell ref="J51:M51"/>
    <mergeCell ref="N51:P51"/>
    <mergeCell ref="AT44:AX44"/>
    <mergeCell ref="AY44:BB44"/>
    <mergeCell ref="BC44:BF44"/>
    <mergeCell ref="F46:I46"/>
    <mergeCell ref="J46:M46"/>
    <mergeCell ref="N46:R46"/>
    <mergeCell ref="S46:W46"/>
    <mergeCell ref="X46:AA46"/>
    <mergeCell ref="AB46:AE46"/>
    <mergeCell ref="AF46:AJ46"/>
    <mergeCell ref="AK46:AN46"/>
    <mergeCell ref="AT46:AX46"/>
    <mergeCell ref="AY46:BB46"/>
    <mergeCell ref="BC46:BF46"/>
    <mergeCell ref="F44:I44"/>
    <mergeCell ref="J44:M44"/>
    <mergeCell ref="N44:R44"/>
    <mergeCell ref="S44:W44"/>
    <mergeCell ref="X44:AA44"/>
    <mergeCell ref="AB44:AE44"/>
    <mergeCell ref="BC52:BF52"/>
    <mergeCell ref="F53:I53"/>
    <mergeCell ref="J53:M53"/>
    <mergeCell ref="N53:R53"/>
    <mergeCell ref="S53:W53"/>
    <mergeCell ref="X53:AA53"/>
    <mergeCell ref="AB53:AE53"/>
    <mergeCell ref="AF53:AJ53"/>
    <mergeCell ref="AK53:AN53"/>
    <mergeCell ref="AO53:AS53"/>
    <mergeCell ref="AT53:AX53"/>
    <mergeCell ref="AY53:BB53"/>
    <mergeCell ref="BC53:BF53"/>
    <mergeCell ref="F52:I52"/>
    <mergeCell ref="J52:M52"/>
    <mergeCell ref="N52:R52"/>
    <mergeCell ref="S52:W52"/>
    <mergeCell ref="X52:AA52"/>
    <mergeCell ref="AB52:AE52"/>
    <mergeCell ref="AF52:AJ52"/>
    <mergeCell ref="AK52:AN52"/>
    <mergeCell ref="AO52:AS52"/>
    <mergeCell ref="BC54:BF54"/>
    <mergeCell ref="F55:I55"/>
    <mergeCell ref="J55:M55"/>
    <mergeCell ref="N55:R55"/>
    <mergeCell ref="S55:W55"/>
    <mergeCell ref="X55:AA55"/>
    <mergeCell ref="AB55:AE55"/>
    <mergeCell ref="AF55:AJ55"/>
    <mergeCell ref="AK55:AN55"/>
    <mergeCell ref="AO55:AS55"/>
    <mergeCell ref="AT55:AX55"/>
    <mergeCell ref="AY55:BB55"/>
    <mergeCell ref="BC55:BF55"/>
    <mergeCell ref="F54:I54"/>
    <mergeCell ref="J54:M54"/>
    <mergeCell ref="N54:R54"/>
    <mergeCell ref="S54:W54"/>
    <mergeCell ref="X54:AA54"/>
    <mergeCell ref="AB54:AE54"/>
    <mergeCell ref="AF54:AJ54"/>
    <mergeCell ref="AK54:AN54"/>
    <mergeCell ref="AO54:AS54"/>
    <mergeCell ref="BC56:BF56"/>
    <mergeCell ref="F57:I57"/>
    <mergeCell ref="J57:M57"/>
    <mergeCell ref="N57:R57"/>
    <mergeCell ref="S57:W57"/>
    <mergeCell ref="AY57:BB57"/>
    <mergeCell ref="F58:I58"/>
    <mergeCell ref="J58:M58"/>
    <mergeCell ref="N58:R58"/>
    <mergeCell ref="S58:W58"/>
    <mergeCell ref="X58:AA58"/>
    <mergeCell ref="AB58:AE58"/>
    <mergeCell ref="AF58:AJ58"/>
    <mergeCell ref="AK58:AN58"/>
    <mergeCell ref="AO58:AS58"/>
    <mergeCell ref="AT58:AX58"/>
    <mergeCell ref="AY58:BB58"/>
    <mergeCell ref="BC58:BF58"/>
    <mergeCell ref="F56:I56"/>
    <mergeCell ref="J56:M56"/>
    <mergeCell ref="N56:R56"/>
    <mergeCell ref="S56:W56"/>
    <mergeCell ref="X56:AA56"/>
    <mergeCell ref="AB56:AE56"/>
    <mergeCell ref="AF56:AJ56"/>
    <mergeCell ref="AK56:AN56"/>
    <mergeCell ref="AO56:AS56"/>
    <mergeCell ref="BC59:BF59"/>
    <mergeCell ref="F60:I60"/>
    <mergeCell ref="J60:M60"/>
    <mergeCell ref="N60:R60"/>
    <mergeCell ref="S60:W60"/>
    <mergeCell ref="X60:AA60"/>
    <mergeCell ref="AB60:AE60"/>
    <mergeCell ref="AF60:AJ60"/>
    <mergeCell ref="AK60:AN60"/>
    <mergeCell ref="AO60:AS60"/>
    <mergeCell ref="AT60:AX60"/>
    <mergeCell ref="AY60:BB60"/>
    <mergeCell ref="BC60:BF60"/>
    <mergeCell ref="F59:I59"/>
    <mergeCell ref="J59:M59"/>
    <mergeCell ref="N59:R59"/>
    <mergeCell ref="S59:W59"/>
    <mergeCell ref="X59:AA59"/>
    <mergeCell ref="AB59:AE59"/>
    <mergeCell ref="AF59:AJ59"/>
    <mergeCell ref="AK59:AN59"/>
    <mergeCell ref="AO59:AS59"/>
    <mergeCell ref="X62:AA62"/>
    <mergeCell ref="AB62:AE62"/>
    <mergeCell ref="AF62:AJ62"/>
    <mergeCell ref="AK62:AN62"/>
    <mergeCell ref="AO62:AS62"/>
    <mergeCell ref="AT62:AX62"/>
    <mergeCell ref="AY62:BB62"/>
    <mergeCell ref="BC62:BF62"/>
    <mergeCell ref="F61:I61"/>
    <mergeCell ref="J61:M61"/>
    <mergeCell ref="N61:R61"/>
    <mergeCell ref="S61:W61"/>
    <mergeCell ref="X61:AA61"/>
    <mergeCell ref="AB61:AE61"/>
    <mergeCell ref="AF61:AJ61"/>
    <mergeCell ref="AK61:AN61"/>
    <mergeCell ref="AO61:AS61"/>
    <mergeCell ref="BC65:BF65"/>
    <mergeCell ref="BB69:BG69"/>
    <mergeCell ref="BD70:BG70"/>
    <mergeCell ref="BD71:BG71"/>
    <mergeCell ref="E9:E10"/>
    <mergeCell ref="E17:E18"/>
    <mergeCell ref="E34:E35"/>
    <mergeCell ref="E50:E51"/>
    <mergeCell ref="AB24:AE24"/>
    <mergeCell ref="X57:AA57"/>
    <mergeCell ref="AB57:AE57"/>
    <mergeCell ref="AF57:AJ57"/>
    <mergeCell ref="AK57:AN57"/>
    <mergeCell ref="AO57:AS57"/>
    <mergeCell ref="AT57:AX57"/>
    <mergeCell ref="BC57:BF57"/>
    <mergeCell ref="F65:I65"/>
    <mergeCell ref="J65:M65"/>
    <mergeCell ref="N65:R65"/>
    <mergeCell ref="S65:W65"/>
    <mergeCell ref="X65:AA65"/>
    <mergeCell ref="AB65:AE65"/>
    <mergeCell ref="AF65:AJ65"/>
    <mergeCell ref="AK65:AN65"/>
    <mergeCell ref="AO65:AS65"/>
    <mergeCell ref="AT61:AX61"/>
    <mergeCell ref="AY61:BB61"/>
    <mergeCell ref="BC61:BF61"/>
    <mergeCell ref="F62:I62"/>
    <mergeCell ref="J62:M62"/>
    <mergeCell ref="N62:R62"/>
    <mergeCell ref="S62:W62"/>
    <mergeCell ref="AO25:AS25"/>
    <mergeCell ref="AO26:AS26"/>
    <mergeCell ref="AO27:AS27"/>
    <mergeCell ref="AO28:AS28"/>
    <mergeCell ref="AO29:AS29"/>
    <mergeCell ref="AO30:AS30"/>
    <mergeCell ref="AO31:AS31"/>
    <mergeCell ref="AO32:AS32"/>
    <mergeCell ref="AO36:AS36"/>
    <mergeCell ref="AO37:AS37"/>
    <mergeCell ref="AO38:AS38"/>
    <mergeCell ref="AO40:AS40"/>
    <mergeCell ref="AO41:AS41"/>
    <mergeCell ref="AO42:AS42"/>
    <mergeCell ref="AO46:AS46"/>
    <mergeCell ref="AT65:AX65"/>
    <mergeCell ref="AY65:BB65"/>
    <mergeCell ref="AT59:AX59"/>
    <mergeCell ref="AY59:BB59"/>
    <mergeCell ref="AT56:AX56"/>
    <mergeCell ref="AY56:BB56"/>
    <mergeCell ref="AT54:AX54"/>
    <mergeCell ref="AY54:BB54"/>
    <mergeCell ref="AT52:AX52"/>
    <mergeCell ref="AY52:BB52"/>
    <mergeCell ref="AT37:AX37"/>
    <mergeCell ref="AY37:BB37"/>
    <mergeCell ref="AT32:AX32"/>
    <mergeCell ref="AY32:BB32"/>
    <mergeCell ref="AT30:AX30"/>
    <mergeCell ref="AY30:BB30"/>
  </mergeCells>
  <conditionalFormatting sqref="F43:BF43">
    <cfRule type="expression" dxfId="1" priority="1">
      <formula>F43&gt;F44</formula>
    </cfRule>
    <cfRule type="expression" dxfId="0" priority="2">
      <formula>F43&lt;F44</formula>
    </cfRule>
  </conditionalFormatting>
  <conditionalFormatting sqref="N11:AO14 AT11:BF14">
    <cfRule type="colorScale" priority="3">
      <colorScale>
        <cfvo type="min"/>
        <cfvo type="percent" val="50"/>
        <cfvo type="max"/>
        <color rgb="FFFFFFFF"/>
        <color rgb="FFFFD966"/>
        <color rgb="FFE67C73"/>
      </colorScale>
    </cfRule>
  </conditionalFormatting>
  <conditionalFormatting sqref="AT19:BB31 BC20 F19:AO31">
    <cfRule type="colorScale" priority="4">
      <colorScale>
        <cfvo type="min"/>
        <cfvo type="percent" val="50"/>
        <cfvo type="max"/>
        <color rgb="FFFFFFFF"/>
        <color rgb="FFFFD966"/>
        <color rgb="FFE67C73"/>
      </colorScale>
    </cfRule>
  </conditionalFormatting>
  <printOptions horizontalCentered="1"/>
  <pageMargins left="0.7" right="0.7" top="0.75" bottom="0.75" header="0" footer="0"/>
  <pageSetup paperSize="3" pageOrder="overThenDown" orientation="landscape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7642783BF5F549AD8264003DAC5479" ma:contentTypeVersion="3" ma:contentTypeDescription="Crée un document." ma:contentTypeScope="" ma:versionID="e270e02282839aae7ec1f3b3d025060b">
  <xsd:schema xmlns:xsd="http://www.w3.org/2001/XMLSchema" xmlns:xs="http://www.w3.org/2001/XMLSchema" xmlns:p="http://schemas.microsoft.com/office/2006/metadata/properties" xmlns:ns2="be3f775b-911d-49d5-9e9c-70e93af7b92b" targetNamespace="http://schemas.microsoft.com/office/2006/metadata/properties" ma:root="true" ma:fieldsID="906aaf77c4d42db84afa80ac20cbec91" ns2:_="">
    <xsd:import namespace="be3f775b-911d-49d5-9e9c-70e93af7b9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3f775b-911d-49d5-9e9c-70e93af7b9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8FDC57F-99B6-42D9-BDF2-CD94A729E43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4676389-8EBA-4776-90EB-EF82871DFC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e3f775b-911d-49d5-9e9c-70e93af7b92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ABE0A53-C52A-4CF4-AE66-CDA8FCBB341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 2025 - 11 déc 2024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Tabarek Al-khalidi</cp:lastModifiedBy>
  <cp:revision/>
  <dcterms:created xsi:type="dcterms:W3CDTF">2025-03-14T18:56:42Z</dcterms:created>
  <dcterms:modified xsi:type="dcterms:W3CDTF">2026-01-24T18:02:31Z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0x010100DF7642783BF5F549AD8264003DAC5479</vt:lpwstr>
  </property>
</Properties>
</file>