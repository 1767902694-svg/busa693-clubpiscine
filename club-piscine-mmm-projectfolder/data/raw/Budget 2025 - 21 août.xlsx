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/Users/vincent/Downloads/"/>
    </mc:Choice>
  </mc:AlternateContent>
  <xr:revisionPtr revIDLastSave="0" documentId="8_{3E68403A-7967-42C9-AEE3-6C17A1B929C5}" xr6:coauthVersionLast="47" xr6:coauthVersionMax="47" xr10:uidLastSave="{00000000-0000-0000-0000-000000000000}"/>
  <bookViews>
    <workbookView xWindow="37300" yWindow="1240" windowWidth="34560" windowHeight="19920" xr2:uid="{00000000-000D-0000-FFFF-FFFF00000000}"/>
  </bookViews>
  <sheets>
    <sheet name="BUDGET 2025 - 11 déc 2024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E61" i="4" l="1"/>
  <c r="EE59" i="4"/>
  <c r="EE58" i="4"/>
  <c r="EE57" i="4"/>
  <c r="CV27" i="4"/>
  <c r="DE27" i="4"/>
  <c r="DS27" i="4"/>
  <c r="DS26" i="4"/>
  <c r="DS11" i="4" l="1"/>
  <c r="EB11" i="4"/>
  <c r="DW32" i="4"/>
  <c r="DW15" i="4"/>
  <c r="DS32" i="4"/>
  <c r="DN32" i="4"/>
  <c r="DN46" i="4"/>
  <c r="DN15" i="4"/>
  <c r="DI15" i="4"/>
  <c r="DE15" i="4"/>
  <c r="EK73" i="4" l="1"/>
  <c r="EK72" i="4"/>
  <c r="EK74" i="4"/>
  <c r="EK78" i="4"/>
  <c r="EK71" i="4" l="1"/>
  <c r="EK70" i="4"/>
  <c r="EK69" i="4"/>
  <c r="EK76" i="4" s="1"/>
  <c r="CZ23" i="4" l="1"/>
  <c r="DI32" i="4" l="1"/>
  <c r="DI46" i="4"/>
  <c r="DS12" i="4"/>
  <c r="DS15" i="4" s="1"/>
  <c r="BG67" i="4"/>
  <c r="AE38" i="4"/>
  <c r="CZ38" i="4"/>
  <c r="CV38" i="4"/>
  <c r="DI40" i="4" l="1"/>
  <c r="DE26" i="4"/>
  <c r="DI42" i="4" l="1"/>
  <c r="DE62" i="4"/>
  <c r="DE23" i="4"/>
  <c r="DE32" i="4" s="1"/>
  <c r="CZ26" i="4"/>
  <c r="CZ27" i="4" s="1"/>
  <c r="CZ15" i="4"/>
  <c r="BG59" i="4"/>
  <c r="CV62" i="4"/>
  <c r="CV26" i="4"/>
  <c r="BZ52" i="4"/>
  <c r="BZ62" i="4" s="1"/>
  <c r="BZ12" i="4"/>
  <c r="CV24" i="4"/>
  <c r="BZ28" i="4"/>
  <c r="BZ32" i="4" s="1"/>
  <c r="CV23" i="4"/>
  <c r="CR23" i="4"/>
  <c r="BW6" i="4"/>
  <c r="CR26" i="4"/>
  <c r="CM12" i="4"/>
  <c r="EB61" i="4"/>
  <c r="EB60" i="4"/>
  <c r="EE60" i="4" s="1"/>
  <c r="EB59" i="4"/>
  <c r="EB58" i="4"/>
  <c r="EB57" i="4"/>
  <c r="EB56" i="4"/>
  <c r="EB55" i="4"/>
  <c r="EB54" i="4"/>
  <c r="EB53" i="4"/>
  <c r="EB46" i="4"/>
  <c r="EB41" i="4"/>
  <c r="CR38" i="4"/>
  <c r="CM38" i="4"/>
  <c r="CH38" i="4"/>
  <c r="CD38" i="4"/>
  <c r="BZ38" i="4"/>
  <c r="EB37" i="4"/>
  <c r="EB36" i="4"/>
  <c r="DW40" i="4"/>
  <c r="DS40" i="4"/>
  <c r="DS52" i="4" s="1"/>
  <c r="DN40" i="4"/>
  <c r="CM32" i="4"/>
  <c r="CH32" i="4"/>
  <c r="CD32" i="4"/>
  <c r="EB31" i="4"/>
  <c r="EB30" i="4"/>
  <c r="EB29" i="4"/>
  <c r="EB25" i="4"/>
  <c r="EB22" i="4"/>
  <c r="EB21" i="4"/>
  <c r="EB19" i="4"/>
  <c r="CV15" i="4"/>
  <c r="CR15" i="4"/>
  <c r="CH15" i="4"/>
  <c r="CD15" i="4"/>
  <c r="EB14" i="4"/>
  <c r="EB13" i="4"/>
  <c r="BG57" i="4"/>
  <c r="BG58" i="4"/>
  <c r="EE19" i="4" l="1"/>
  <c r="EE55" i="4"/>
  <c r="EE30" i="4"/>
  <c r="DW52" i="4"/>
  <c r="DW62" i="4" s="1"/>
  <c r="DW65" i="4" s="1"/>
  <c r="DE40" i="4"/>
  <c r="DE42" i="4" s="1"/>
  <c r="EB23" i="4"/>
  <c r="EB12" i="4"/>
  <c r="CM15" i="4"/>
  <c r="EB28" i="4"/>
  <c r="CR32" i="4"/>
  <c r="CR40" i="4" s="1"/>
  <c r="CR62" i="4" s="1"/>
  <c r="CR65" i="4" s="1"/>
  <c r="CH40" i="4"/>
  <c r="EB27" i="4"/>
  <c r="CZ32" i="4"/>
  <c r="CZ40" i="4" s="1"/>
  <c r="EB26" i="4"/>
  <c r="EB38" i="4"/>
  <c r="EB39" i="4" s="1"/>
  <c r="CV32" i="4"/>
  <c r="CV40" i="4" s="1"/>
  <c r="CD40" i="4"/>
  <c r="CD52" i="4" s="1"/>
  <c r="CD62" i="4" s="1"/>
  <c r="CD65" i="4" s="1"/>
  <c r="EB24" i="4"/>
  <c r="CM40" i="4"/>
  <c r="CM42" i="4" s="1"/>
  <c r="EC14" i="4"/>
  <c r="CM62" i="4"/>
  <c r="CZ62" i="4"/>
  <c r="DI62" i="4"/>
  <c r="DI65" i="4" s="1"/>
  <c r="DN62" i="4"/>
  <c r="DN65" i="4" s="1"/>
  <c r="DN42" i="4"/>
  <c r="DS62" i="4"/>
  <c r="DS65" i="4" s="1"/>
  <c r="DS42" i="4"/>
  <c r="DW42" i="4"/>
  <c r="BZ15" i="4"/>
  <c r="EB15" i="4" s="1"/>
  <c r="BM47" i="4"/>
  <c r="BM49" i="4" s="1"/>
  <c r="W23" i="4"/>
  <c r="W32" i="4" s="1"/>
  <c r="AA23" i="4"/>
  <c r="AE23" i="4"/>
  <c r="AE32" i="4" s="1"/>
  <c r="AJ23" i="4"/>
  <c r="AJ32" i="4" s="1"/>
  <c r="BG27" i="4"/>
  <c r="BJ62" i="4"/>
  <c r="BG61" i="4"/>
  <c r="BG60" i="4"/>
  <c r="BG56" i="4"/>
  <c r="EE56" i="4" s="1"/>
  <c r="BG55" i="4"/>
  <c r="BG54" i="4"/>
  <c r="EE54" i="4" s="1"/>
  <c r="BG53" i="4"/>
  <c r="EE53" i="4" s="1"/>
  <c r="BG46" i="4"/>
  <c r="BG41" i="4"/>
  <c r="BB38" i="4"/>
  <c r="AX38" i="4"/>
  <c r="AS38" i="4"/>
  <c r="AO38" i="4"/>
  <c r="AN38" i="4"/>
  <c r="AJ38" i="4"/>
  <c r="AA38" i="4"/>
  <c r="W38" i="4"/>
  <c r="R38" i="4"/>
  <c r="M38" i="4"/>
  <c r="I38" i="4"/>
  <c r="E38" i="4"/>
  <c r="BG37" i="4"/>
  <c r="BG36" i="4"/>
  <c r="BJ32" i="4"/>
  <c r="BB32" i="4"/>
  <c r="AX32" i="4"/>
  <c r="AS32" i="4"/>
  <c r="AO32" i="4"/>
  <c r="AN32" i="4"/>
  <c r="R32" i="4"/>
  <c r="M32" i="4"/>
  <c r="I32" i="4"/>
  <c r="E32" i="4"/>
  <c r="BG31" i="4"/>
  <c r="BG30" i="4"/>
  <c r="BG29" i="4"/>
  <c r="BG28" i="4"/>
  <c r="BG26" i="4"/>
  <c r="BG25" i="4"/>
  <c r="EE25" i="4" s="1"/>
  <c r="BG24" i="4"/>
  <c r="BG22" i="4"/>
  <c r="EE22" i="4" s="1"/>
  <c r="BG21" i="4"/>
  <c r="EE21" i="4" s="1"/>
  <c r="BG20" i="4"/>
  <c r="BG19" i="4"/>
  <c r="BJ15" i="4"/>
  <c r="BB15" i="4"/>
  <c r="AX15" i="4"/>
  <c r="AS15" i="4"/>
  <c r="AO15" i="4"/>
  <c r="AN15" i="4"/>
  <c r="AJ15" i="4"/>
  <c r="AE15" i="4"/>
  <c r="AA15" i="4"/>
  <c r="R15" i="4"/>
  <c r="M15" i="4"/>
  <c r="I15" i="4"/>
  <c r="BG14" i="4"/>
  <c r="BG13" i="4"/>
  <c r="EE13" i="4" s="1"/>
  <c r="E12" i="4"/>
  <c r="W11" i="4"/>
  <c r="BG11" i="4" s="1"/>
  <c r="EE11" i="4" s="1"/>
  <c r="EE28" i="4" l="1"/>
  <c r="EE12" i="4"/>
  <c r="EB40" i="4"/>
  <c r="EB32" i="4"/>
  <c r="EB33" i="4" s="1"/>
  <c r="DE65" i="4"/>
  <c r="BG23" i="4"/>
  <c r="EE23" i="4" s="1"/>
  <c r="AE40" i="4"/>
  <c r="AE42" i="4" s="1"/>
  <c r="CM65" i="4"/>
  <c r="EE26" i="4"/>
  <c r="BZ40" i="4"/>
  <c r="CV42" i="4"/>
  <c r="CV65" i="4"/>
  <c r="CD42" i="4"/>
  <c r="EE24" i="4"/>
  <c r="CZ65" i="4"/>
  <c r="CZ42" i="4"/>
  <c r="CR42" i="4"/>
  <c r="EB16" i="4"/>
  <c r="CH42" i="4"/>
  <c r="CH62" i="4"/>
  <c r="CH65" i="4" s="1"/>
  <c r="BM48" i="4"/>
  <c r="AA32" i="4"/>
  <c r="AA40" i="4" s="1"/>
  <c r="AA52" i="4" s="1"/>
  <c r="AA62" i="4" s="1"/>
  <c r="AA65" i="4" s="1"/>
  <c r="AJ40" i="4"/>
  <c r="AJ52" i="4" s="1"/>
  <c r="AJ62" i="4" s="1"/>
  <c r="AJ65" i="4" s="1"/>
  <c r="W15" i="4"/>
  <c r="W40" i="4" s="1"/>
  <c r="I40" i="4"/>
  <c r="I52" i="4" s="1"/>
  <c r="I62" i="4" s="1"/>
  <c r="I65" i="4" s="1"/>
  <c r="AN40" i="4"/>
  <c r="AN42" i="4" s="1"/>
  <c r="AO40" i="4"/>
  <c r="BG38" i="4"/>
  <c r="BG39" i="4" s="1"/>
  <c r="AS40" i="4"/>
  <c r="AS52" i="4" s="1"/>
  <c r="AS62" i="4" s="1"/>
  <c r="AS65" i="4" s="1"/>
  <c r="AX40" i="4"/>
  <c r="AX52" i="4" s="1"/>
  <c r="AX62" i="4" s="1"/>
  <c r="AX65" i="4" s="1"/>
  <c r="BH14" i="4"/>
  <c r="R40" i="4"/>
  <c r="R52" i="4" s="1"/>
  <c r="R62" i="4" s="1"/>
  <c r="R65" i="4" s="1"/>
  <c r="BJ40" i="4"/>
  <c r="EF11" i="4" s="1"/>
  <c r="BG12" i="4"/>
  <c r="E15" i="4"/>
  <c r="M40" i="4"/>
  <c r="M52" i="4" s="1"/>
  <c r="BB40" i="4"/>
  <c r="BZ42" i="4" l="1"/>
  <c r="EB42" i="4" s="1"/>
  <c r="EF12" i="4"/>
  <c r="BK24" i="4"/>
  <c r="EC15" i="4"/>
  <c r="DI43" i="4"/>
  <c r="EE15" i="4"/>
  <c r="EF15" i="4" s="1"/>
  <c r="AJ44" i="4"/>
  <c r="CM44" i="4"/>
  <c r="EF14" i="4"/>
  <c r="BZ44" i="4"/>
  <c r="DN44" i="4"/>
  <c r="CH44" i="4"/>
  <c r="DW44" i="4"/>
  <c r="CD44" i="4"/>
  <c r="DS44" i="4"/>
  <c r="CR44" i="4"/>
  <c r="DI44" i="4"/>
  <c r="CV44" i="4"/>
  <c r="DE44" i="4"/>
  <c r="CZ44" i="4"/>
  <c r="EF13" i="4"/>
  <c r="EB62" i="4"/>
  <c r="DX70" i="4" s="1"/>
  <c r="EC30" i="4"/>
  <c r="EB44" i="4"/>
  <c r="DX71" i="4" s="1"/>
  <c r="EC37" i="4"/>
  <c r="EC25" i="4"/>
  <c r="EC36" i="4"/>
  <c r="EC27" i="4"/>
  <c r="EC19" i="4"/>
  <c r="EC12" i="4"/>
  <c r="EC29" i="4"/>
  <c r="EC11" i="4"/>
  <c r="EC26" i="4"/>
  <c r="EC32" i="4"/>
  <c r="EC38" i="4"/>
  <c r="EC24" i="4"/>
  <c r="EC23" i="4"/>
  <c r="EC13" i="4"/>
  <c r="EC22" i="4"/>
  <c r="EC21" i="4"/>
  <c r="EC28" i="4"/>
  <c r="EC31" i="4"/>
  <c r="EB52" i="4"/>
  <c r="W52" i="4"/>
  <c r="W62" i="4" s="1"/>
  <c r="W65" i="4" s="1"/>
  <c r="BG32" i="4"/>
  <c r="BG33" i="4" s="1"/>
  <c r="AJ42" i="4"/>
  <c r="AA42" i="4"/>
  <c r="AE52" i="4"/>
  <c r="AE62" i="4" s="1"/>
  <c r="AE65" i="4" s="1"/>
  <c r="I42" i="4"/>
  <c r="AX42" i="4"/>
  <c r="AS42" i="4"/>
  <c r="AE44" i="4"/>
  <c r="BK11" i="4"/>
  <c r="AN52" i="4"/>
  <c r="AN62" i="4" s="1"/>
  <c r="AN65" i="4" s="1"/>
  <c r="AO42" i="4"/>
  <c r="BG15" i="4"/>
  <c r="BG16" i="4" s="1"/>
  <c r="BK27" i="4"/>
  <c r="W42" i="4"/>
  <c r="E44" i="4"/>
  <c r="R44" i="4"/>
  <c r="AX44" i="4"/>
  <c r="BK13" i="4"/>
  <c r="BK14" i="4"/>
  <c r="BK28" i="4"/>
  <c r="BK19" i="4"/>
  <c r="I44" i="4"/>
  <c r="R42" i="4"/>
  <c r="BK30" i="4"/>
  <c r="AN44" i="4"/>
  <c r="BB44" i="4"/>
  <c r="BK31" i="4"/>
  <c r="W44" i="4"/>
  <c r="BK26" i="4"/>
  <c r="BJ65" i="4"/>
  <c r="BK23" i="4"/>
  <c r="AS44" i="4"/>
  <c r="M44" i="4"/>
  <c r="BK15" i="4"/>
  <c r="AA44" i="4"/>
  <c r="BK12" i="4"/>
  <c r="E40" i="4"/>
  <c r="BB52" i="4"/>
  <c r="BB62" i="4" s="1"/>
  <c r="BB65" i="4" s="1"/>
  <c r="BB42" i="4"/>
  <c r="M42" i="4"/>
  <c r="M62" i="4"/>
  <c r="M65" i="4" s="1"/>
  <c r="BZ65" i="4" l="1"/>
  <c r="EB65" i="4" s="1"/>
  <c r="EB66" i="4" s="1"/>
  <c r="EC33" i="4"/>
  <c r="EC39" i="4"/>
  <c r="EC16" i="4"/>
  <c r="BK32" i="4"/>
  <c r="BG40" i="4"/>
  <c r="E52" i="4"/>
  <c r="E42" i="4"/>
  <c r="BG42" i="4" s="1"/>
  <c r="EB20" i="4" l="1"/>
  <c r="EB68" i="4"/>
  <c r="E43" i="4"/>
  <c r="DN43" i="4"/>
  <c r="DE43" i="4"/>
  <c r="DS43" i="4"/>
  <c r="CZ43" i="4"/>
  <c r="DW43" i="4"/>
  <c r="CV43" i="4"/>
  <c r="CH43" i="4"/>
  <c r="CD43" i="4"/>
  <c r="CM43" i="4"/>
  <c r="CR43" i="4"/>
  <c r="BZ43" i="4"/>
  <c r="EC44" i="4"/>
  <c r="E62" i="4"/>
  <c r="BG52" i="4"/>
  <c r="EE52" i="4" s="1"/>
  <c r="EE62" i="4" s="1"/>
  <c r="BG44" i="4"/>
  <c r="BH27" i="4"/>
  <c r="BH31" i="4"/>
  <c r="BH25" i="4"/>
  <c r="BH19" i="4"/>
  <c r="BH30" i="4"/>
  <c r="BH11" i="4"/>
  <c r="BH24" i="4"/>
  <c r="AS43" i="4"/>
  <c r="BH28" i="4"/>
  <c r="I43" i="4"/>
  <c r="AA43" i="4"/>
  <c r="AE43" i="4"/>
  <c r="BH37" i="4"/>
  <c r="BH23" i="4"/>
  <c r="BH38" i="4"/>
  <c r="BH26" i="4"/>
  <c r="BH22" i="4"/>
  <c r="AX43" i="4"/>
  <c r="BH20" i="4"/>
  <c r="AN43" i="4"/>
  <c r="W43" i="4"/>
  <c r="R43" i="4"/>
  <c r="AJ43" i="4"/>
  <c r="BH21" i="4"/>
  <c r="BH36" i="4"/>
  <c r="BH29" i="4"/>
  <c r="BH13" i="4"/>
  <c r="BH12" i="4"/>
  <c r="M43" i="4"/>
  <c r="BH32" i="4"/>
  <c r="BB43" i="4"/>
  <c r="BH15" i="4"/>
  <c r="EK77" i="4" l="1"/>
  <c r="EK79" i="4" s="1"/>
  <c r="EB70" i="4"/>
  <c r="EB71" i="4"/>
  <c r="EE20" i="4"/>
  <c r="EE32" i="4" s="1"/>
  <c r="EE40" i="4" s="1"/>
  <c r="EC20" i="4"/>
  <c r="E65" i="4"/>
  <c r="BG62" i="4"/>
  <c r="BG65" i="4" s="1"/>
  <c r="BC71" i="4"/>
  <c r="BH39" i="4"/>
  <c r="BH16" i="4"/>
  <c r="BH33" i="4"/>
  <c r="EF27" i="4" l="1"/>
  <c r="EF19" i="4"/>
  <c r="EF24" i="4"/>
  <c r="EF30" i="4"/>
  <c r="EF23" i="4"/>
  <c r="EF28" i="4"/>
  <c r="EF26" i="4"/>
  <c r="EF31" i="4"/>
  <c r="EE65" i="4"/>
  <c r="BG66" i="4"/>
  <c r="BG71" i="4" s="1"/>
  <c r="BC70" i="4"/>
  <c r="BH44" i="4"/>
  <c r="EF32" i="4" l="1"/>
  <c r="BG7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Microsoft Office User</author>
  </authors>
  <commentList>
    <comment ref="E12" authorId="0" shapeId="0" xr:uid="{00000000-0006-0000-0300-000001000000}">
      <text>
        <r>
          <rPr>
            <sz val="10"/>
            <color rgb="FF000000"/>
            <rFont val="Arial"/>
            <family val="2"/>
          </rPr>
          <t>Factures de 2024 qui ont été reçues plus tard</t>
        </r>
      </text>
    </comment>
    <comment ref="BZ12" authorId="0" shapeId="0" xr:uid="{CA43A5AB-19BE-DA43-A183-E887053E1809}">
      <text>
        <r>
          <rPr>
            <sz val="10"/>
            <color rgb="FF000000"/>
            <rFont val="Arial"/>
            <family val="2"/>
          </rPr>
          <t>Factures de 2024 qui ont été reçues plus tard</t>
        </r>
      </text>
    </comment>
    <comment ref="AE13" authorId="0" shapeId="0" xr:uid="{00000000-0006-0000-0300-000003000000}">
      <text>
        <r>
          <rPr>
            <sz val="10"/>
            <color rgb="FF000000"/>
            <rFont val="Arial"/>
            <family val="2"/>
          </rPr>
          <t xml:space="preserve">Campagne petits espaces
</t>
        </r>
      </text>
    </comment>
    <comment ref="CZ13" authorId="0" shapeId="0" xr:uid="{6B13FAD2-05F4-5D47-9737-53CB2781CE62}">
      <text>
        <r>
          <rPr>
            <sz val="10"/>
            <color rgb="FF000000"/>
            <rFont val="Arial"/>
            <family val="2"/>
          </rPr>
          <t xml:space="preserve">Campagne petits espaces
</t>
        </r>
      </text>
    </comment>
    <comment ref="AA14" authorId="0" shapeId="0" xr:uid="{00000000-0006-0000-0300-000004000000}">
      <text>
        <r>
          <rPr>
            <sz val="10"/>
            <color rgb="FF000000"/>
            <rFont val="Arial"/>
            <family val="2"/>
          </rPr>
          <t xml:space="preserve">Campagne d'envoies postaux ultra ciblés dans les quartiers high end.
</t>
        </r>
        <r>
          <rPr>
            <sz val="10"/>
            <color rgb="FF000000"/>
            <rFont val="Arial"/>
            <family val="2"/>
          </rPr>
          <t xml:space="preserve">Creusée + spas + meubles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Voir ce qui est réaliste avec ce budget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 </t>
        </r>
      </text>
    </comment>
    <comment ref="CV14" authorId="0" shapeId="0" xr:uid="{4FFDB3D8-3361-3047-A60F-1D6359687C63}">
      <text>
        <r>
          <rPr>
            <sz val="10"/>
            <color rgb="FF000000"/>
            <rFont val="Arial"/>
            <family val="2"/>
          </rPr>
          <t xml:space="preserve">Campagne d'envoies postaux ultra ciblés dans les quartiers high end.
</t>
        </r>
        <r>
          <rPr>
            <sz val="10"/>
            <color rgb="FF000000"/>
            <rFont val="Arial"/>
            <family val="2"/>
          </rPr>
          <t xml:space="preserve">Creusée + spas + meubles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Voir ce qui est réaliste avec ce budget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 </t>
        </r>
      </text>
    </comment>
    <comment ref="AX26" authorId="0" shapeId="0" xr:uid="{00000000-0006-0000-0300-000005000000}">
      <text>
        <r>
          <rPr>
            <sz val="10"/>
            <color rgb="FF000000"/>
            <rFont val="Arial"/>
            <family val="2"/>
          </rPr>
          <t xml:space="preserve">Prod spécifique pour un preroll
</t>
        </r>
      </text>
    </comment>
    <comment ref="DS26" authorId="0" shapeId="0" xr:uid="{B43EA36E-EBCD-694F-82B4-EC05D2EA01C9}">
      <text>
        <r>
          <rPr>
            <sz val="10"/>
            <color rgb="FF000000"/>
            <rFont val="Arial"/>
            <family val="2"/>
          </rPr>
          <t xml:space="preserve">Prod spécifique pour un preroll
</t>
        </r>
      </text>
    </comment>
    <comment ref="AE36" authorId="1" shapeId="0" xr:uid="{91D09496-7B4D-724D-9725-A07D51594044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Pause famille passe dans le budget de Véro, on enlève 15k sur le budget global
</t>
        </r>
      </text>
    </comment>
    <comment ref="CZ36" authorId="1" shapeId="0" xr:uid="{80F1FC79-E8DE-C24A-BFEE-56F136F789AE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Pause famille
</t>
        </r>
      </text>
    </comment>
    <comment ref="I53" authorId="0" shapeId="0" xr:uid="{00000000-0006-0000-0300-000006000000}">
      <text>
        <r>
          <rPr>
            <sz val="10"/>
            <color rgb="FF000000"/>
            <rFont val="Arial"/>
            <family val="2"/>
          </rPr>
          <t>Paiement 2 de 3 pour la campagne de 2025-2026</t>
        </r>
      </text>
    </comment>
    <comment ref="CD53" authorId="0" shapeId="0" xr:uid="{5A926FB0-3418-3D49-A92E-98588EBD02CB}">
      <text>
        <r>
          <rPr>
            <sz val="10"/>
            <color rgb="FF000000"/>
            <rFont val="Arial"/>
            <family val="2"/>
          </rPr>
          <t>Paiement 2 de 3 pour la campagne de 2025-2026</t>
        </r>
      </text>
    </comment>
    <comment ref="E55" authorId="0" shapeId="0" xr:uid="{00000000-0006-0000-0300-000007000000}">
      <text>
        <r>
          <rPr>
            <sz val="10"/>
            <color rgb="FF000000"/>
            <rFont val="Arial"/>
            <family val="2"/>
          </rPr>
          <t>50% de la musique est payée en 2025, l'autre 50% est un prepaid pour 2026. Il n'apparait pas au budget 2025.</t>
        </r>
      </text>
    </comment>
    <comment ref="BZ55" authorId="0" shapeId="0" xr:uid="{7163C784-6EC2-584D-8900-FAC8529DB816}">
      <text>
        <r>
          <rPr>
            <sz val="10"/>
            <color rgb="FF000000"/>
            <rFont val="Arial"/>
            <family val="2"/>
          </rPr>
          <t>50% de la musique est payée en 2025, l'autre 50% est un prepaid pour 2026. Il n'apparait pas au budget 2025.</t>
        </r>
      </text>
    </comment>
    <comment ref="DE57" authorId="1" shapeId="0" xr:uid="{53CB4007-D5B6-6F49-97CF-E3952C8BAF03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Video pierrefonds
</t>
        </r>
      </text>
    </comment>
    <comment ref="E58" authorId="0" shapeId="0" xr:uid="{00000000-0006-0000-0300-000008000000}">
      <text>
        <r>
          <rPr>
            <sz val="10"/>
            <color rgb="FF000000"/>
            <rFont val="Arial"/>
            <family val="2"/>
          </rPr>
          <t xml:space="preserve">Upgrade talents
</t>
        </r>
      </text>
    </comment>
    <comment ref="BZ58" authorId="0" shapeId="0" xr:uid="{F11BDE35-B9D0-7949-86B7-80AD24C30686}">
      <text>
        <r>
          <rPr>
            <sz val="10"/>
            <color rgb="FF000000"/>
            <rFont val="Arial"/>
            <family val="2"/>
          </rPr>
          <t xml:space="preserve">Upgrade talents
</t>
        </r>
      </text>
    </comment>
    <comment ref="BG67" authorId="1" shapeId="0" xr:uid="{B83BBAD7-C1B3-A945-B2B1-60E53C39CD4A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Budget de départ : 4 225 000$
</t>
        </r>
        <r>
          <rPr>
            <sz val="10"/>
            <color rgb="FF000000"/>
            <rFont val="Tahoma"/>
            <family val="2"/>
          </rPr>
          <t xml:space="preserve">Budget révisé (pause famille): 4 210 000$
</t>
        </r>
        <r>
          <rPr>
            <sz val="10"/>
            <color rgb="FF000000"/>
            <rFont val="Tahoma"/>
            <family val="2"/>
          </rPr>
          <t>Budget révisé (discrétionnaire de marc): 4 239 000$</t>
        </r>
      </text>
    </comment>
    <comment ref="EB67" authorId="1" shapeId="0" xr:uid="{C59A276A-9F27-1548-A6CC-2AD87837AC55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Target Budgétaire au 13 mai 2025 (4 210 000), target au budgétaire au 7 juillet 2025 (4 239 000) suite aux ajouts de Marc 
</t>
        </r>
      </text>
    </comment>
  </commentList>
</comments>
</file>

<file path=xl/sharedStrings.xml><?xml version="1.0" encoding="utf-8"?>
<sst xmlns="http://schemas.openxmlformats.org/spreadsheetml/2006/main" count="205" uniqueCount="107">
  <si>
    <t>VERSION</t>
  </si>
  <si>
    <t>BUDGET 2025 - V6</t>
  </si>
  <si>
    <t>BUDGET RÉEL 2025</t>
  </si>
  <si>
    <t>6.0</t>
  </si>
  <si>
    <t>5.0</t>
  </si>
  <si>
    <t>p</t>
  </si>
  <si>
    <t>DATE</t>
  </si>
  <si>
    <t>QUOTES</t>
  </si>
  <si>
    <t>LIQUIDATION</t>
  </si>
  <si>
    <t>RH</t>
  </si>
  <si>
    <t>CAMPAGNE</t>
  </si>
  <si>
    <t>QUOTES         + FITNESS        + ABRIS</t>
  </si>
  <si>
    <t>SOLDE DES FÊTES</t>
  </si>
  <si>
    <t>FITNESS
+QUOTES</t>
  </si>
  <si>
    <t>LIQUIDATION
+QUOTES
+RH</t>
  </si>
  <si>
    <t>KICKOFF</t>
  </si>
  <si>
    <t>CORE 1</t>
  </si>
  <si>
    <t>CORE 2</t>
  </si>
  <si>
    <t>LOCAL</t>
  </si>
  <si>
    <t>FESTIVAL</t>
  </si>
  <si>
    <t>VENTE 1</t>
  </si>
  <si>
    <t>VENTE 2</t>
  </si>
  <si>
    <t>SPA VIP</t>
  </si>
  <si>
    <t>QUOTES // FITNESS</t>
  </si>
  <si>
    <t>MEDIA</t>
  </si>
  <si>
    <t>NOVEMBRE</t>
  </si>
  <si>
    <t>DECEMBRE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</si>
  <si>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</si>
  <si>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</si>
  <si>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</si>
  <si>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</si>
  <si>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</si>
  <si>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</si>
  <si>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</si>
  <si>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</si>
  <si>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</si>
  <si>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</si>
  <si>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TOTAL 2025</t>
  </si>
  <si>
    <t>%</t>
  </si>
  <si>
    <t>TOTAL 2024</t>
  </si>
  <si>
    <t>DIFFÉRENCE</t>
  </si>
  <si>
    <t>Semaine débutant le lundi</t>
  </si>
  <si>
    <t>TRADITIONNEL</t>
  </si>
  <si>
    <t>RATIO</t>
  </si>
  <si>
    <t>TELEVISION</t>
  </si>
  <si>
    <t>NOTES ET PRINCIPAUX AJUSTEMENTS: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Télé à 75% du réel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Radio à 85% du réel 2024                                                                     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On enlève la radio en mars on en ajoute en octobre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Ajout de radio numérique                                                                                                                                                   - Ajout d'émissions d'experts au 98,5 (2 fois dans la saison)                                                                                                                                             - Ajout de La Presse + (meubles, creusées, spas)                                                                                                                                                                                                                              - Ajout de contenu de marque (format à définir, magazine?)                                                                                                                                                                                                                               - Ajout de Pinterest                                                                                                                                                                                                                               - Retrait des campagnes performances Google et Facebook                                                                                                                                                                                                                               - Pas de contigence locale/commandite                                                                                                                                                                                                                              - Ajout de campagnes d'envois postaux premium ciblés                                                                                                                                                                                                                               - Ajouts de panneaux (affichage) numérique                                                                                                                                                                                                                          - Ajout de 15305,23$ dans le budget (Référence note de Crédit 4577)                                                                                                                                                                                                                                - Une semaine de hiatus en télé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Ajout d'un 12k pour le logo BRAND - MEUBLES                                                                                                                                                                                                                               - Retrait de s envois postaux. L'argent est réinvestit en radio                                                                                                                                                                                                                     - Musique à 40k                                                                                                                                                                                                                                - Ajustement de la radio au RÉEL selon le booking                                                                                                                                                                                    - 15k commandite pause famille le budget est pris dans Google et Facebook vers budget Véro                                     - Ajustement de la radio numérique (le tarif est au brut après négo)                                                                                                                                                                                        - On enlève un contenu de marque et on réinvesti dans la presse                                                    - On enlève 45k en bannières web premium pour l'envoyer sur la ligne LaPresse                                                                                                                             - Ajout d'une facture d'octobre dans le budget Flipp (RC458) au mois de novembre                                                                                                                    - On enlève 50k d'affichage prévu au mois de juin pour rebalancer le budget                                                          - Ajout de 20k dans le budget pour la campagne de réouverture de Pierrefonds (Marc)                                                        - Ajout de 6k dans le budget pour les magasins de Thetford et Victoriaville (Marc)                                                                         - Ajout de 3k dans le budget pour le déménagement de Rouyn (Marc)</t>
  </si>
  <si>
    <t>RADIO</t>
  </si>
  <si>
    <t>PANNEAUX ET AFFICHAGES NUMÉRIQUES</t>
  </si>
  <si>
    <t>ENVOIS POSTAUX</t>
  </si>
  <si>
    <t>TOTAL TRADITIONNEL</t>
  </si>
  <si>
    <t>NUMÉRIQUE</t>
  </si>
  <si>
    <t>CIRCULAIRE DIGITALE</t>
  </si>
  <si>
    <t>RADIO NUMÉRIQUE</t>
  </si>
  <si>
    <t>AUDIO ET PODCAST</t>
  </si>
  <si>
    <t>CONTENU DE MARQUE</t>
  </si>
  <si>
    <t>LAPRESSE (LP+, PREROLL, DISPLAY)</t>
  </si>
  <si>
    <t>GOOGLE DISPLAY + PREROLL</t>
  </si>
  <si>
    <t>PROGRAMMATIQUE + GÉOCIBLAGE</t>
  </si>
  <si>
    <t>PREROLL - PREMIUM</t>
  </si>
  <si>
    <t>BANNIÈRES WEB - PREMIUM</t>
  </si>
  <si>
    <t>FACEBOOK + INSTAGRAM (PROMO)</t>
  </si>
  <si>
    <t>FACEBOOK + INSTAGRAM (PRODUIT)</t>
  </si>
  <si>
    <t>PINTEREST</t>
  </si>
  <si>
    <t>TIKTOK</t>
  </si>
  <si>
    <t>TOTAL NUMÉRIQUE</t>
  </si>
  <si>
    <t>AUTRES</t>
  </si>
  <si>
    <t>COMMANDITES</t>
  </si>
  <si>
    <t>RÉSERVE / CONTINGENCE LOCALE</t>
  </si>
  <si>
    <t>TOTAL MÉDIA RÉEL</t>
  </si>
  <si>
    <t>TOTAL MEDIA 2024</t>
  </si>
  <si>
    <t xml:space="preserve">DIFFÉRENCE </t>
  </si>
  <si>
    <t>% vs total 2025</t>
  </si>
  <si>
    <t>% vs total 2024</t>
  </si>
  <si>
    <t>COOP - FOURNISSEURS</t>
  </si>
  <si>
    <t>AQUARINO</t>
  </si>
  <si>
    <t>FIBERWOOD</t>
  </si>
  <si>
    <t xml:space="preserve">BRAND HTH </t>
  </si>
  <si>
    <t>?BBQ?</t>
  </si>
  <si>
    <t>SOLSTICE?</t>
  </si>
  <si>
    <t>FLUIDRA</t>
  </si>
  <si>
    <t>RBF</t>
  </si>
  <si>
    <t>SANIMARC?</t>
  </si>
  <si>
    <t>Production</t>
  </si>
  <si>
    <t>COMMISSION MÉDIA</t>
  </si>
  <si>
    <t>PRODUCTION VIDEO</t>
  </si>
  <si>
    <t>PRODUCTION RADIO</t>
  </si>
  <si>
    <t>MUSIQUE</t>
  </si>
  <si>
    <t>PRODUCTION GRAPHIQUE</t>
  </si>
  <si>
    <t>PRODUCTION PHOTO</t>
  </si>
  <si>
    <t>UDA TV</t>
  </si>
  <si>
    <t>UDA RADIO</t>
  </si>
  <si>
    <t>COPIES</t>
  </si>
  <si>
    <t>HONORAIRES</t>
  </si>
  <si>
    <t>TOTAL PRODUCTION</t>
  </si>
  <si>
    <t>GRAND TOTAL</t>
  </si>
  <si>
    <t>Écart potentiel</t>
  </si>
  <si>
    <t>RATIO PROD/MEDIA</t>
  </si>
  <si>
    <t>Production TV</t>
  </si>
  <si>
    <t>PROD</t>
  </si>
  <si>
    <t>Production photo</t>
  </si>
  <si>
    <t>UDA télé</t>
  </si>
  <si>
    <t>Copies</t>
  </si>
  <si>
    <t>UDA radio</t>
  </si>
  <si>
    <t>ss</t>
  </si>
  <si>
    <t>Production radio</t>
  </si>
  <si>
    <t>La Presse + Septembre</t>
  </si>
  <si>
    <t>Écart radio (avec ajout SEPTEMBRE)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</si>
</sst>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 * #,##0.00_)\ &quot;$&quot;_ ;_ * \(#,##0.00\)\ &quot;$&quot;_ ;_ * &quot;-&quot;??_)\ &quot;$&quot;_ ;_ @_ "/>
    <numFmt numFmtId="165" formatCode="_ * #,##0.00_)_ ;_ * \(#,##0.00\)_ ;_ * &quot;-&quot;??_)_ ;_ @_ "/>
    <numFmt numFmtId="166" formatCode="yyyy\-mm\-dd"/>
    <numFmt numFmtId="167" formatCode="#,##0.00&quot;$&quot;"/>
    <numFmt numFmtId="168" formatCode="_-* #,##0.00\ [$$-C0C]_-;\-* #,##0.00\ [$$-C0C]_-;_-* &quot;-&quot;??\ [$$-C0C]_-;_-@"/>
    <numFmt numFmtId="169" formatCode="#,##0.00\ [$$-C0C]"/>
    <numFmt numFmtId="170" formatCode="&quot;$&quot;#,##0.00"/>
    <numFmt numFmtId="171" formatCode="0.000%"/>
    <numFmt numFmtId="172" formatCode="#,##0.00\ &quot;$&quot;"/>
  </numFmts>
  <fonts count="42">
    <font>
      <sz val="10"/>
      <color rgb="FF000000"/>
      <name val="Arial"/>
      <scheme val="minor"/>
    </font>
    <font>
      <b/>
      <sz val="7"/>
      <color rgb="FFFFFFFF"/>
      <name val="Arial"/>
      <family val="2"/>
    </font>
    <font>
      <b/>
      <sz val="25"/>
      <color theme="1"/>
      <name val="Helvetica Neue"/>
      <family val="2"/>
    </font>
    <font>
      <b/>
      <sz val="9"/>
      <color theme="1"/>
      <name val="Arial"/>
      <family val="2"/>
    </font>
    <font>
      <b/>
      <sz val="10"/>
      <color theme="1"/>
      <name val="Helvetica Neue"/>
      <family val="2"/>
    </font>
    <font>
      <b/>
      <sz val="7"/>
      <color theme="1"/>
      <name val="Helvetica Neue"/>
      <family val="2"/>
    </font>
    <font>
      <sz val="10"/>
      <name val="Arial"/>
      <family val="2"/>
    </font>
    <font>
      <b/>
      <sz val="7"/>
      <color theme="1"/>
      <name val="Arial"/>
      <family val="2"/>
    </font>
    <font>
      <b/>
      <sz val="10"/>
      <color theme="1"/>
      <name val="Arial"/>
      <family val="2"/>
    </font>
    <font>
      <b/>
      <sz val="7"/>
      <color rgb="FFFFFFFF"/>
      <name val="Helvetica Neue"/>
      <family val="2"/>
    </font>
    <font>
      <sz val="10"/>
      <color theme="1"/>
      <name val="Arial"/>
      <family val="2"/>
      <scheme val="minor"/>
    </font>
    <font>
      <sz val="10"/>
      <color theme="1"/>
      <name val="Helvetica Neue"/>
      <family val="2"/>
    </font>
    <font>
      <b/>
      <sz val="7"/>
      <color theme="1"/>
      <name val="Calibri"/>
      <family val="2"/>
    </font>
    <font>
      <b/>
      <sz val="14"/>
      <color rgb="FF1C4587"/>
      <name val="Helvetica Neue"/>
      <family val="2"/>
    </font>
    <font>
      <sz val="10"/>
      <color theme="1"/>
      <name val="Arial"/>
      <family val="2"/>
    </font>
    <font>
      <b/>
      <sz val="11"/>
      <color theme="1"/>
      <name val="Helvetica Neue"/>
      <family val="2"/>
    </font>
    <font>
      <b/>
      <sz val="14"/>
      <color rgb="FF0C343D"/>
      <name val="Helvetica Neue"/>
      <family val="2"/>
    </font>
    <font>
      <b/>
      <sz val="10"/>
      <color rgb="FF0C343D"/>
      <name val="Helvetica Neue"/>
      <family val="2"/>
    </font>
    <font>
      <b/>
      <sz val="14"/>
      <color rgb="FF0C343D"/>
      <name val="Calibri"/>
      <family val="2"/>
    </font>
    <font>
      <sz val="10"/>
      <color rgb="FF999999"/>
      <name val="Arial"/>
      <family val="2"/>
      <scheme val="minor"/>
    </font>
    <font>
      <sz val="10"/>
      <color rgb="FF999999"/>
      <name val="Helvetica Neue"/>
      <family val="2"/>
    </font>
    <font>
      <b/>
      <sz val="14"/>
      <color rgb="FF1C4587"/>
      <name val="Arial"/>
      <family val="2"/>
      <scheme val="minor"/>
    </font>
    <font>
      <b/>
      <sz val="8"/>
      <color theme="1"/>
      <name val="Calibri"/>
      <family val="2"/>
    </font>
    <font>
      <sz val="10"/>
      <color rgb="FFFFFFFF"/>
      <name val="Arial"/>
      <family val="2"/>
      <scheme val="minor"/>
    </font>
    <font>
      <b/>
      <sz val="14"/>
      <color rgb="FFFFFFFF"/>
      <name val="Helvetica Neue"/>
      <family val="2"/>
    </font>
    <font>
      <sz val="11"/>
      <color rgb="FF1C1E21"/>
      <name val="Roboto"/>
    </font>
    <font>
      <sz val="10"/>
      <color rgb="FFFFFFFF"/>
      <name val="Helvetica Neue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  <scheme val="minor"/>
    </font>
    <font>
      <sz val="10"/>
      <color rgb="FF000000"/>
      <name val="Helvetica Neue"/>
      <family val="2"/>
    </font>
    <font>
      <b/>
      <sz val="10"/>
      <color rgb="FFFF0000"/>
      <name val="Helvetica Neue"/>
      <family val="2"/>
    </font>
    <font>
      <b/>
      <sz val="10"/>
      <name val="Helvetica Neue"/>
      <family val="2"/>
    </font>
    <font>
      <b/>
      <sz val="10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FF0000"/>
      <name val="Helvetica Neue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  <scheme val="minor"/>
    </font>
    <font>
      <b/>
      <sz val="14"/>
      <color rgb="FFFF0000"/>
      <name val="Helvetica Neue"/>
      <family val="2"/>
    </font>
  </fonts>
  <fills count="2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theme="9"/>
        <bgColor theme="9"/>
      </patternFill>
    </fill>
    <fill>
      <patternFill patternType="solid">
        <fgColor rgb="FFCFE2F3"/>
        <bgColor rgb="FFCFE2F3"/>
      </patternFill>
    </fill>
    <fill>
      <patternFill patternType="solid">
        <fgColor theme="6"/>
        <bgColor theme="6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D1E5FF"/>
        <bgColor rgb="FFD1E5FF"/>
      </patternFill>
    </fill>
    <fill>
      <patternFill patternType="solid">
        <fgColor rgb="FFFF00FF"/>
        <bgColor rgb="FFFF00FF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9900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3">
    <xf numFmtId="0" fontId="0" fillId="0" borderId="0"/>
    <xf numFmtId="165" fontId="31" fillId="0" borderId="0" applyFont="0" applyFill="0" applyBorder="0" applyAlignment="0" applyProtection="0"/>
    <xf numFmtId="164" fontId="36" fillId="0" borderId="0" applyFont="0" applyFill="0" applyBorder="0" applyAlignment="0" applyProtection="0"/>
  </cellStyleXfs>
  <cellXfs count="193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3" borderId="0" xfId="0" applyFont="1" applyFill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6" fontId="3" fillId="3" borderId="0" xfId="0" applyNumberFormat="1" applyFont="1" applyFill="1" applyAlignment="1">
      <alignment horizontal="left"/>
    </xf>
    <xf numFmtId="0" fontId="7" fillId="0" borderId="0" xfId="0" applyFont="1"/>
    <xf numFmtId="0" fontId="1" fillId="0" borderId="4" xfId="0" applyFont="1" applyBorder="1"/>
    <xf numFmtId="0" fontId="4" fillId="0" borderId="4" xfId="0" applyFont="1" applyBorder="1" applyAlignment="1">
      <alignment horizontal="center" vertical="center"/>
    </xf>
    <xf numFmtId="0" fontId="8" fillId="0" borderId="0" xfId="0" applyFont="1"/>
    <xf numFmtId="0" fontId="9" fillId="4" borderId="8" xfId="0" applyFont="1" applyFill="1" applyBorder="1"/>
    <xf numFmtId="0" fontId="4" fillId="0" borderId="8" xfId="0" applyFont="1" applyBorder="1" applyAlignment="1">
      <alignment horizontal="center" vertical="center" wrapText="1"/>
    </xf>
    <xf numFmtId="0" fontId="9" fillId="4" borderId="0" xfId="0" applyFont="1" applyFill="1"/>
    <xf numFmtId="0" fontId="9" fillId="0" borderId="0" xfId="0" applyFont="1"/>
    <xf numFmtId="0" fontId="4" fillId="0" borderId="8" xfId="0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8" xfId="0" applyFont="1" applyBorder="1"/>
    <xf numFmtId="0" fontId="5" fillId="5" borderId="8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167" fontId="13" fillId="0" borderId="0" xfId="0" applyNumberFormat="1" applyFont="1" applyAlignment="1">
      <alignment vertical="top"/>
    </xf>
    <xf numFmtId="167" fontId="13" fillId="0" borderId="6" xfId="0" applyNumberFormat="1" applyFont="1" applyBorder="1" applyAlignment="1">
      <alignment vertical="top"/>
    </xf>
    <xf numFmtId="167" fontId="13" fillId="0" borderId="7" xfId="0" applyNumberFormat="1" applyFont="1" applyBorder="1" applyAlignment="1">
      <alignment vertical="top"/>
    </xf>
    <xf numFmtId="167" fontId="14" fillId="0" borderId="0" xfId="0" applyNumberFormat="1" applyFont="1"/>
    <xf numFmtId="167" fontId="11" fillId="0" borderId="0" xfId="0" applyNumberFormat="1" applyFont="1"/>
    <xf numFmtId="167" fontId="13" fillId="0" borderId="4" xfId="0" applyNumberFormat="1" applyFont="1" applyBorder="1" applyAlignment="1">
      <alignment vertical="top"/>
    </xf>
    <xf numFmtId="167" fontId="13" fillId="0" borderId="10" xfId="0" applyNumberFormat="1" applyFont="1" applyBorder="1" applyAlignment="1">
      <alignment vertical="top"/>
    </xf>
    <xf numFmtId="0" fontId="15" fillId="5" borderId="0" xfId="0" applyFont="1" applyFill="1"/>
    <xf numFmtId="0" fontId="15" fillId="5" borderId="8" xfId="0" applyFont="1" applyFill="1" applyBorder="1"/>
    <xf numFmtId="167" fontId="10" fillId="0" borderId="0" xfId="0" applyNumberFormat="1" applyFont="1"/>
    <xf numFmtId="167" fontId="4" fillId="0" borderId="8" xfId="0" applyNumberFormat="1" applyFont="1" applyBorder="1"/>
    <xf numFmtId="10" fontId="11" fillId="0" borderId="8" xfId="0" applyNumberFormat="1" applyFont="1" applyBorder="1"/>
    <xf numFmtId="9" fontId="4" fillId="0" borderId="0" xfId="0" applyNumberFormat="1" applyFont="1"/>
    <xf numFmtId="0" fontId="15" fillId="0" borderId="0" xfId="0" applyFont="1"/>
    <xf numFmtId="0" fontId="15" fillId="0" borderId="8" xfId="0" applyFont="1" applyBorder="1"/>
    <xf numFmtId="167" fontId="4" fillId="0" borderId="12" xfId="0" applyNumberFormat="1" applyFont="1" applyBorder="1"/>
    <xf numFmtId="10" fontId="11" fillId="0" borderId="12" xfId="0" applyNumberFormat="1" applyFont="1" applyBorder="1"/>
    <xf numFmtId="0" fontId="16" fillId="5" borderId="0" xfId="0" applyFont="1" applyFill="1"/>
    <xf numFmtId="0" fontId="16" fillId="5" borderId="8" xfId="0" applyFont="1" applyFill="1" applyBorder="1"/>
    <xf numFmtId="167" fontId="17" fillId="0" borderId="8" xfId="0" applyNumberFormat="1" applyFont="1" applyBorder="1"/>
    <xf numFmtId="0" fontId="18" fillId="5" borderId="0" xfId="0" applyFont="1" applyFill="1"/>
    <xf numFmtId="167" fontId="19" fillId="0" borderId="0" xfId="0" applyNumberFormat="1" applyFont="1"/>
    <xf numFmtId="10" fontId="20" fillId="0" borderId="0" xfId="0" applyNumberFormat="1" applyFont="1"/>
    <xf numFmtId="0" fontId="21" fillId="0" borderId="0" xfId="0" applyFont="1"/>
    <xf numFmtId="0" fontId="22" fillId="5" borderId="0" xfId="0" applyFont="1" applyFill="1"/>
    <xf numFmtId="10" fontId="10" fillId="0" borderId="8" xfId="0" applyNumberFormat="1" applyFont="1" applyBorder="1"/>
    <xf numFmtId="0" fontId="22" fillId="0" borderId="0" xfId="0" applyFont="1"/>
    <xf numFmtId="0" fontId="15" fillId="5" borderId="11" xfId="0" applyFont="1" applyFill="1" applyBorder="1"/>
    <xf numFmtId="167" fontId="17" fillId="5" borderId="8" xfId="0" applyNumberFormat="1" applyFont="1" applyFill="1" applyBorder="1"/>
    <xf numFmtId="167" fontId="4" fillId="0" borderId="0" xfId="0" applyNumberFormat="1" applyFont="1"/>
    <xf numFmtId="0" fontId="14" fillId="0" borderId="0" xfId="0" applyFont="1"/>
    <xf numFmtId="10" fontId="10" fillId="0" borderId="0" xfId="0" applyNumberFormat="1" applyFont="1"/>
    <xf numFmtId="168" fontId="19" fillId="0" borderId="0" xfId="0" applyNumberFormat="1" applyFont="1"/>
    <xf numFmtId="169" fontId="4" fillId="0" borderId="8" xfId="0" applyNumberFormat="1" applyFont="1" applyBorder="1"/>
    <xf numFmtId="170" fontId="11" fillId="0" borderId="3" xfId="0" applyNumberFormat="1" applyFont="1" applyBorder="1" applyAlignment="1">
      <alignment horizontal="right"/>
    </xf>
    <xf numFmtId="170" fontId="14" fillId="0" borderId="16" xfId="0" applyNumberFormat="1" applyFont="1" applyBorder="1"/>
    <xf numFmtId="167" fontId="4" fillId="0" borderId="3" xfId="0" applyNumberFormat="1" applyFont="1" applyBorder="1" applyAlignment="1">
      <alignment horizontal="right"/>
    </xf>
    <xf numFmtId="167" fontId="4" fillId="2" borderId="3" xfId="0" applyNumberFormat="1" applyFont="1" applyFill="1" applyBorder="1" applyAlignment="1">
      <alignment horizontal="right"/>
    </xf>
    <xf numFmtId="10" fontId="19" fillId="0" borderId="0" xfId="0" applyNumberFormat="1" applyFont="1"/>
    <xf numFmtId="0" fontId="10" fillId="0" borderId="0" xfId="0" applyFont="1" applyAlignment="1">
      <alignment horizontal="center"/>
    </xf>
    <xf numFmtId="0" fontId="17" fillId="5" borderId="0" xfId="0" applyFont="1" applyFill="1"/>
    <xf numFmtId="167" fontId="10" fillId="0" borderId="8" xfId="0" applyNumberFormat="1" applyFont="1" applyBorder="1"/>
    <xf numFmtId="0" fontId="25" fillId="15" borderId="0" xfId="0" applyFont="1" applyFill="1" applyAlignment="1">
      <alignment horizontal="right"/>
    </xf>
    <xf numFmtId="0" fontId="5" fillId="14" borderId="8" xfId="0" applyFont="1" applyFill="1" applyBorder="1" applyAlignment="1">
      <alignment horizontal="center"/>
    </xf>
    <xf numFmtId="0" fontId="5" fillId="17" borderId="8" xfId="0" applyFont="1" applyFill="1" applyBorder="1" applyAlignment="1">
      <alignment horizontal="center"/>
    </xf>
    <xf numFmtId="0" fontId="5" fillId="18" borderId="8" xfId="0" applyFont="1" applyFill="1" applyBorder="1" applyAlignment="1">
      <alignment horizontal="center"/>
    </xf>
    <xf numFmtId="0" fontId="6" fillId="0" borderId="2" xfId="0" applyFont="1" applyBorder="1"/>
    <xf numFmtId="0" fontId="6" fillId="0" borderId="3" xfId="0" applyFont="1" applyBorder="1"/>
    <xf numFmtId="165" fontId="0" fillId="0" borderId="0" xfId="1" applyFont="1"/>
    <xf numFmtId="0" fontId="27" fillId="0" borderId="0" xfId="0" applyFont="1"/>
    <xf numFmtId="165" fontId="0" fillId="19" borderId="0" xfId="1" applyFont="1" applyFill="1"/>
    <xf numFmtId="169" fontId="0" fillId="0" borderId="0" xfId="0" applyNumberFormat="1"/>
    <xf numFmtId="172" fontId="0" fillId="0" borderId="0" xfId="0" applyNumberFormat="1"/>
    <xf numFmtId="0" fontId="37" fillId="0" borderId="0" xfId="0" applyFont="1"/>
    <xf numFmtId="164" fontId="0" fillId="0" borderId="0" xfId="2" applyFont="1"/>
    <xf numFmtId="172" fontId="0" fillId="20" borderId="0" xfId="0" applyNumberFormat="1" applyFill="1"/>
    <xf numFmtId="0" fontId="0" fillId="20" borderId="0" xfId="0" applyFill="1"/>
    <xf numFmtId="167" fontId="40" fillId="0" borderId="0" xfId="0" applyNumberFormat="1" applyFont="1"/>
    <xf numFmtId="167" fontId="41" fillId="0" borderId="6" xfId="0" applyNumberFormat="1" applyFont="1" applyBorder="1" applyAlignment="1">
      <alignment vertical="top"/>
    </xf>
    <xf numFmtId="167" fontId="41" fillId="0" borderId="7" xfId="0" applyNumberFormat="1" applyFont="1" applyBorder="1" applyAlignment="1">
      <alignment vertical="top"/>
    </xf>
    <xf numFmtId="167" fontId="41" fillId="0" borderId="4" xfId="0" applyNumberFormat="1" applyFont="1" applyBorder="1" applyAlignment="1">
      <alignment vertical="top"/>
    </xf>
    <xf numFmtId="167" fontId="41" fillId="0" borderId="10" xfId="0" applyNumberFormat="1" applyFont="1" applyBorder="1" applyAlignment="1">
      <alignment vertical="top"/>
    </xf>
    <xf numFmtId="0" fontId="40" fillId="0" borderId="0" xfId="0" applyFont="1"/>
    <xf numFmtId="167" fontId="11" fillId="0" borderId="1" xfId="0" applyNumberFormat="1" applyFont="1" applyBorder="1"/>
    <xf numFmtId="167" fontId="11" fillId="0" borderId="3" xfId="0" applyNumberFormat="1" applyFont="1" applyBorder="1"/>
    <xf numFmtId="167" fontId="11" fillId="0" borderId="8" xfId="0" applyNumberFormat="1" applyFont="1" applyBorder="1"/>
    <xf numFmtId="167" fontId="11" fillId="0" borderId="1" xfId="0" applyNumberFormat="1" applyFont="1" applyBorder="1" applyAlignment="1">
      <alignment horizontal="center"/>
    </xf>
    <xf numFmtId="167" fontId="11" fillId="0" borderId="2" xfId="0" applyNumberFormat="1" applyFont="1" applyBorder="1" applyAlignment="1">
      <alignment horizontal="center"/>
    </xf>
    <xf numFmtId="167" fontId="11" fillId="0" borderId="3" xfId="0" applyNumberFormat="1" applyFont="1" applyBorder="1" applyAlignment="1">
      <alignment horizontal="center"/>
    </xf>
    <xf numFmtId="167" fontId="17" fillId="5" borderId="1" xfId="0" applyNumberFormat="1" applyFont="1" applyFill="1" applyBorder="1" applyAlignment="1">
      <alignment horizontal="center"/>
    </xf>
    <xf numFmtId="167" fontId="17" fillId="5" borderId="2" xfId="0" applyNumberFormat="1" applyFont="1" applyFill="1" applyBorder="1" applyAlignment="1">
      <alignment horizontal="center"/>
    </xf>
    <xf numFmtId="167" fontId="17" fillId="5" borderId="3" xfId="0" applyNumberFormat="1" applyFont="1" applyFill="1" applyBorder="1" applyAlignment="1">
      <alignment horizontal="center"/>
    </xf>
    <xf numFmtId="170" fontId="11" fillId="0" borderId="1" xfId="0" applyNumberFormat="1" applyFont="1" applyBorder="1" applyAlignment="1">
      <alignment horizontal="center"/>
    </xf>
    <xf numFmtId="170" fontId="11" fillId="0" borderId="2" xfId="0" applyNumberFormat="1" applyFont="1" applyBorder="1" applyAlignment="1">
      <alignment horizontal="center"/>
    </xf>
    <xf numFmtId="170" fontId="11" fillId="0" borderId="3" xfId="0" applyNumberFormat="1" applyFont="1" applyBorder="1" applyAlignment="1">
      <alignment horizontal="center"/>
    </xf>
    <xf numFmtId="169" fontId="34" fillId="0" borderId="1" xfId="0" applyNumberFormat="1" applyFont="1" applyBorder="1" applyAlignment="1">
      <alignment horizontal="right"/>
    </xf>
    <xf numFmtId="169" fontId="34" fillId="0" borderId="2" xfId="0" applyNumberFormat="1" applyFont="1" applyBorder="1" applyAlignment="1">
      <alignment horizontal="right"/>
    </xf>
    <xf numFmtId="169" fontId="34" fillId="0" borderId="3" xfId="0" applyNumberFormat="1" applyFont="1" applyBorder="1" applyAlignment="1">
      <alignment horizontal="right"/>
    </xf>
    <xf numFmtId="169" fontId="33" fillId="0" borderId="1" xfId="0" applyNumberFormat="1" applyFont="1" applyBorder="1" applyAlignment="1">
      <alignment horizontal="right"/>
    </xf>
    <xf numFmtId="169" fontId="33" fillId="0" borderId="2" xfId="0" applyNumberFormat="1" applyFont="1" applyBorder="1" applyAlignment="1">
      <alignment horizontal="right"/>
    </xf>
    <xf numFmtId="169" fontId="33" fillId="0" borderId="3" xfId="0" applyNumberFormat="1" applyFont="1" applyBorder="1" applyAlignment="1">
      <alignment horizontal="right"/>
    </xf>
    <xf numFmtId="167" fontId="13" fillId="0" borderId="5" xfId="0" applyNumberFormat="1" applyFont="1" applyBorder="1" applyAlignment="1">
      <alignment vertical="top"/>
    </xf>
    <xf numFmtId="167" fontId="24" fillId="14" borderId="12" xfId="0" applyNumberFormat="1" applyFont="1" applyFill="1" applyBorder="1" applyAlignment="1">
      <alignment horizontal="center" vertical="center"/>
    </xf>
    <xf numFmtId="167" fontId="11" fillId="0" borderId="1" xfId="0" applyNumberFormat="1" applyFont="1" applyBorder="1" applyAlignment="1">
      <alignment horizontal="right"/>
    </xf>
    <xf numFmtId="167" fontId="11" fillId="0" borderId="2" xfId="0" applyNumberFormat="1" applyFont="1" applyBorder="1" applyAlignment="1">
      <alignment horizontal="right"/>
    </xf>
    <xf numFmtId="167" fontId="11" fillId="0" borderId="3" xfId="0" applyNumberFormat="1" applyFont="1" applyBorder="1" applyAlignment="1">
      <alignment horizontal="right"/>
    </xf>
    <xf numFmtId="167" fontId="38" fillId="0" borderId="1" xfId="0" applyNumberFormat="1" applyFont="1" applyBorder="1" applyAlignment="1">
      <alignment horizontal="center"/>
    </xf>
    <xf numFmtId="167" fontId="38" fillId="0" borderId="2" xfId="0" applyNumberFormat="1" applyFont="1" applyBorder="1" applyAlignment="1">
      <alignment horizontal="center"/>
    </xf>
    <xf numFmtId="167" fontId="38" fillId="0" borderId="3" xfId="0" applyNumberFormat="1" applyFont="1" applyBorder="1" applyAlignment="1">
      <alignment horizontal="center"/>
    </xf>
    <xf numFmtId="169" fontId="4" fillId="0" borderId="2" xfId="0" applyNumberFormat="1" applyFont="1" applyBorder="1" applyAlignment="1">
      <alignment horizontal="right"/>
    </xf>
    <xf numFmtId="169" fontId="4" fillId="0" borderId="1" xfId="0" applyNumberFormat="1" applyFont="1" applyBorder="1" applyAlignment="1">
      <alignment horizontal="right"/>
    </xf>
    <xf numFmtId="169" fontId="4" fillId="0" borderId="3" xfId="0" applyNumberFormat="1" applyFont="1" applyBorder="1" applyAlignment="1">
      <alignment horizontal="right"/>
    </xf>
    <xf numFmtId="0" fontId="4" fillId="0" borderId="0" xfId="0" applyFont="1" applyAlignment="1">
      <alignment horizontal="center" vertical="center"/>
    </xf>
    <xf numFmtId="10" fontId="11" fillId="0" borderId="2" xfId="0" applyNumberFormat="1" applyFont="1" applyBorder="1" applyAlignment="1">
      <alignment horizontal="right"/>
    </xf>
    <xf numFmtId="10" fontId="38" fillId="0" borderId="2" xfId="0" applyNumberFormat="1" applyFont="1" applyBorder="1" applyAlignment="1">
      <alignment horizontal="right"/>
    </xf>
    <xf numFmtId="170" fontId="11" fillId="0" borderId="2" xfId="0" applyNumberFormat="1" applyFont="1" applyBorder="1" applyAlignment="1">
      <alignment horizontal="right"/>
    </xf>
    <xf numFmtId="170" fontId="11" fillId="0" borderId="1" xfId="0" applyNumberFormat="1" applyFont="1" applyBorder="1" applyAlignment="1">
      <alignment horizontal="right"/>
    </xf>
    <xf numFmtId="170" fontId="11" fillId="0" borderId="6" xfId="0" applyNumberFormat="1" applyFont="1" applyBorder="1" applyAlignment="1">
      <alignment horizontal="right"/>
    </xf>
    <xf numFmtId="170" fontId="38" fillId="0" borderId="2" xfId="0" applyNumberFormat="1" applyFont="1" applyBorder="1" applyAlignment="1">
      <alignment horizontal="right"/>
    </xf>
    <xf numFmtId="0" fontId="10" fillId="7" borderId="1" xfId="0" applyFont="1" applyFill="1" applyBorder="1" applyAlignment="1">
      <alignment horizontal="center"/>
    </xf>
    <xf numFmtId="0" fontId="10" fillId="9" borderId="2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40" fillId="4" borderId="1" xfId="0" applyFont="1" applyFill="1" applyBorder="1" applyAlignment="1">
      <alignment horizontal="center"/>
    </xf>
    <xf numFmtId="0" fontId="10" fillId="12" borderId="1" xfId="0" applyFont="1" applyFill="1" applyBorder="1" applyAlignment="1">
      <alignment horizontal="center"/>
    </xf>
    <xf numFmtId="0" fontId="10" fillId="13" borderId="1" xfId="0" applyFont="1" applyFill="1" applyBorder="1" applyAlignment="1">
      <alignment horizontal="center"/>
    </xf>
    <xf numFmtId="170" fontId="38" fillId="0" borderId="13" xfId="0" applyNumberFormat="1" applyFont="1" applyBorder="1" applyAlignment="1">
      <alignment horizontal="right"/>
    </xf>
    <xf numFmtId="171" fontId="11" fillId="0" borderId="2" xfId="0" applyNumberFormat="1" applyFont="1" applyBorder="1" applyAlignment="1">
      <alignment horizontal="right"/>
    </xf>
    <xf numFmtId="171" fontId="38" fillId="0" borderId="2" xfId="0" applyNumberFormat="1" applyFont="1" applyBorder="1" applyAlignment="1">
      <alignment horizontal="right"/>
    </xf>
    <xf numFmtId="171" fontId="38" fillId="0" borderId="4" xfId="0" applyNumberFormat="1" applyFont="1" applyBorder="1" applyAlignment="1">
      <alignment horizontal="right"/>
    </xf>
    <xf numFmtId="167" fontId="4" fillId="0" borderId="12" xfId="0" applyNumberFormat="1" applyFont="1" applyBorder="1" applyAlignment="1">
      <alignment vertical="center"/>
    </xf>
    <xf numFmtId="167" fontId="17" fillId="0" borderId="1" xfId="0" applyNumberFormat="1" applyFont="1" applyBorder="1" applyAlignment="1">
      <alignment horizontal="center"/>
    </xf>
    <xf numFmtId="167" fontId="17" fillId="0" borderId="2" xfId="0" applyNumberFormat="1" applyFont="1" applyBorder="1" applyAlignment="1">
      <alignment horizontal="center"/>
    </xf>
    <xf numFmtId="167" fontId="17" fillId="0" borderId="3" xfId="0" applyNumberFormat="1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167" fontId="11" fillId="0" borderId="0" xfId="0" applyNumberFormat="1" applyFont="1" applyAlignment="1">
      <alignment horizontal="right"/>
    </xf>
    <xf numFmtId="167" fontId="26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16" borderId="9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0" fontId="11" fillId="0" borderId="13" xfId="0" applyNumberFormat="1" applyFont="1" applyBorder="1" applyAlignment="1">
      <alignment horizontal="right"/>
    </xf>
    <xf numFmtId="171" fontId="11" fillId="0" borderId="4" xfId="0" applyNumberFormat="1" applyFont="1" applyBorder="1" applyAlignment="1">
      <alignment horizontal="right"/>
    </xf>
    <xf numFmtId="0" fontId="23" fillId="4" borderId="1" xfId="0" applyFont="1" applyFill="1" applyBorder="1" applyAlignment="1">
      <alignment horizontal="center"/>
    </xf>
    <xf numFmtId="0" fontId="0" fillId="0" borderId="0" xfId="0" applyAlignment="1"/>
    <xf numFmtId="0" fontId="6" fillId="0" borderId="2" xfId="0" applyFont="1" applyBorder="1" applyAlignment="1"/>
    <xf numFmtId="0" fontId="6" fillId="0" borderId="3" xfId="0" applyFont="1" applyBorder="1" applyAlignment="1"/>
    <xf numFmtId="0" fontId="6" fillId="0" borderId="6" xfId="0" applyFont="1" applyBorder="1" applyAlignment="1"/>
    <xf numFmtId="0" fontId="6" fillId="0" borderId="7" xfId="0" applyFont="1" applyBorder="1" applyAlignment="1"/>
    <xf numFmtId="0" fontId="6" fillId="0" borderId="4" xfId="0" applyFont="1" applyBorder="1" applyAlignment="1"/>
    <xf numFmtId="0" fontId="6" fillId="0" borderId="10" xfId="0" applyFont="1" applyBorder="1" applyAlignment="1"/>
    <xf numFmtId="0" fontId="6" fillId="0" borderId="9" xfId="0" applyFont="1" applyBorder="1" applyAlignment="1"/>
    <xf numFmtId="167" fontId="11" fillId="0" borderId="1" xfId="0" applyNumberFormat="1" applyFont="1" applyBorder="1" applyAlignment="1"/>
    <xf numFmtId="167" fontId="38" fillId="0" borderId="1" xfId="0" applyNumberFormat="1" applyFont="1" applyBorder="1" applyAlignment="1"/>
    <xf numFmtId="0" fontId="39" fillId="0" borderId="2" xfId="0" applyFont="1" applyBorder="1" applyAlignment="1"/>
    <xf numFmtId="0" fontId="39" fillId="0" borderId="3" xfId="0" applyFont="1" applyBorder="1" applyAlignment="1"/>
    <xf numFmtId="167" fontId="11" fillId="5" borderId="1" xfId="0" applyNumberFormat="1" applyFont="1" applyFill="1" applyBorder="1" applyAlignment="1"/>
    <xf numFmtId="167" fontId="11" fillId="0" borderId="2" xfId="0" applyNumberFormat="1" applyFont="1" applyBorder="1" applyAlignment="1"/>
    <xf numFmtId="167" fontId="17" fillId="5" borderId="1" xfId="0" applyNumberFormat="1" applyFont="1" applyFill="1" applyBorder="1" applyAlignment="1"/>
    <xf numFmtId="167" fontId="17" fillId="0" borderId="1" xfId="0" applyNumberFormat="1" applyFont="1" applyBorder="1" applyAlignment="1"/>
    <xf numFmtId="167" fontId="33" fillId="0" borderId="1" xfId="0" applyNumberFormat="1" applyFont="1" applyBorder="1" applyAlignment="1"/>
    <xf numFmtId="167" fontId="11" fillId="0" borderId="3" xfId="0" applyNumberFormat="1" applyFont="1" applyBorder="1" applyAlignment="1"/>
    <xf numFmtId="167" fontId="38" fillId="0" borderId="2" xfId="0" applyNumberFormat="1" applyFont="1" applyBorder="1" applyAlignment="1"/>
    <xf numFmtId="167" fontId="38" fillId="0" borderId="3" xfId="0" applyNumberFormat="1" applyFont="1" applyBorder="1" applyAlignment="1"/>
    <xf numFmtId="0" fontId="6" fillId="0" borderId="11" xfId="0" applyFont="1" applyBorder="1" applyAlignment="1"/>
    <xf numFmtId="167" fontId="33" fillId="5" borderId="1" xfId="0" applyNumberFormat="1" applyFont="1" applyFill="1" applyBorder="1" applyAlignment="1"/>
    <xf numFmtId="0" fontId="10" fillId="0" borderId="0" xfId="0" applyFont="1" applyAlignment="1"/>
    <xf numFmtId="167" fontId="17" fillId="5" borderId="5" xfId="0" applyNumberFormat="1" applyFont="1" applyFill="1" applyBorder="1" applyAlignment="1"/>
    <xf numFmtId="167" fontId="33" fillId="5" borderId="5" xfId="0" applyNumberFormat="1" applyFont="1" applyFill="1" applyBorder="1" applyAlignment="1"/>
    <xf numFmtId="0" fontId="39" fillId="0" borderId="6" xfId="0" applyFont="1" applyBorder="1" applyAlignment="1"/>
    <xf numFmtId="0" fontId="39" fillId="0" borderId="7" xfId="0" applyFont="1" applyBorder="1" applyAlignment="1"/>
    <xf numFmtId="0" fontId="6" fillId="0" borderId="14" xfId="0" applyFont="1" applyBorder="1" applyAlignment="1"/>
    <xf numFmtId="0" fontId="6" fillId="0" borderId="15" xfId="0" applyFont="1" applyBorder="1" applyAlignment="1"/>
    <xf numFmtId="0" fontId="39" fillId="0" borderId="14" xfId="0" applyFont="1" applyBorder="1" applyAlignment="1"/>
    <xf numFmtId="0" fontId="39" fillId="0" borderId="15" xfId="0" applyFont="1" applyBorder="1" applyAlignment="1"/>
    <xf numFmtId="0" fontId="39" fillId="0" borderId="4" xfId="0" applyFont="1" applyBorder="1" applyAlignment="1"/>
    <xf numFmtId="0" fontId="39" fillId="0" borderId="10" xfId="0" applyFont="1" applyBorder="1" applyAlignment="1"/>
    <xf numFmtId="0" fontId="10" fillId="8" borderId="1" xfId="0" applyFont="1" applyFill="1" applyBorder="1" applyAlignment="1"/>
    <xf numFmtId="0" fontId="10" fillId="11" borderId="1" xfId="0" applyFont="1" applyFill="1" applyBorder="1" applyAlignment="1"/>
    <xf numFmtId="167" fontId="32" fillId="0" borderId="1" xfId="0" applyNumberFormat="1" applyFont="1" applyBorder="1" applyAlignment="1"/>
    <xf numFmtId="167" fontId="32" fillId="0" borderId="2" xfId="0" applyNumberFormat="1" applyFont="1" applyBorder="1" applyAlignment="1"/>
    <xf numFmtId="167" fontId="32" fillId="0" borderId="3" xfId="0" applyNumberFormat="1" applyFont="1" applyBorder="1" applyAlignment="1"/>
    <xf numFmtId="169" fontId="10" fillId="0" borderId="1" xfId="0" applyNumberFormat="1" applyFont="1" applyBorder="1" applyAlignment="1"/>
    <xf numFmtId="169" fontId="10" fillId="0" borderId="2" xfId="0" applyNumberFormat="1" applyFont="1" applyBorder="1" applyAlignment="1"/>
    <xf numFmtId="169" fontId="10" fillId="0" borderId="3" xfId="0" applyNumberFormat="1" applyFont="1" applyBorder="1" applyAlignment="1"/>
    <xf numFmtId="0" fontId="35" fillId="0" borderId="2" xfId="0" applyFont="1" applyBorder="1" applyAlignment="1"/>
    <xf numFmtId="0" fontId="35" fillId="0" borderId="3" xfId="0" applyFont="1" applyBorder="1" applyAlignment="1"/>
    <xf numFmtId="167" fontId="10" fillId="0" borderId="0" xfId="0" applyNumberFormat="1" applyFont="1" applyAlignment="1"/>
  </cellXfs>
  <cellStyles count="3">
    <cellStyle name="Comma" xfId="1" builtinId="3"/>
    <cellStyle name="Currency" xfId="2" builtinId="4"/>
    <cellStyle name="Normal" xfId="0" builtinId="0"/>
  </cellStyles>
  <dxfs count="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A84F"/>
    <outlinePr summaryBelow="0" summaryRight="0"/>
    <pageSetUpPr fitToPage="1"/>
  </sheetPr>
  <dimension ref="A1:EK158"/>
  <sheetViews>
    <sheetView tabSelected="1" workbookViewId="0">
      <pane xSplit="4" ySplit="8" topLeftCell="CL44" activePane="bottomRight" state="frozen"/>
      <selection pane="bottomRight" activeCell="EB71" sqref="EB71"/>
      <selection pane="bottomLeft" activeCell="A9" sqref="A9"/>
      <selection pane="topRight" activeCell="E1" sqref="E1"/>
    </sheetView>
  </sheetViews>
  <sheetFormatPr defaultColWidth="12.7109375" defaultRowHeight="15.75" customHeight="1"/>
  <cols>
    <col min="1" max="2" width="9" hidden="1" customWidth="1"/>
    <col min="3" max="3" width="4" customWidth="1"/>
    <col min="4" max="4" width="38.28515625" customWidth="1"/>
    <col min="5" max="39" width="3" customWidth="1"/>
    <col min="40" max="40" width="11.7109375" customWidth="1"/>
    <col min="41" max="41" width="2.28515625" customWidth="1"/>
    <col min="42" max="42" width="1" customWidth="1"/>
    <col min="43" max="43" width="3" customWidth="1"/>
    <col min="44" max="44" width="6" customWidth="1"/>
    <col min="45" max="50" width="3" customWidth="1"/>
    <col min="51" max="52" width="4" customWidth="1"/>
    <col min="53" max="53" width="4.7109375" customWidth="1"/>
    <col min="54" max="57" width="3" customWidth="1"/>
    <col min="58" max="58" width="3.28515625" customWidth="1"/>
    <col min="59" max="59" width="14.140625" bestFit="1" customWidth="1"/>
    <col min="60" max="60" width="8.140625" bestFit="1" customWidth="1"/>
    <col min="61" max="61" width="2.7109375" customWidth="1"/>
    <col min="62" max="62" width="13.28515625" customWidth="1"/>
    <col min="63" max="63" width="7" customWidth="1"/>
    <col min="64" max="74" width="7.28515625" customWidth="1"/>
    <col min="77" max="77" width="38.28515625" customWidth="1"/>
    <col min="78" max="112" width="3" customWidth="1"/>
    <col min="113" max="113" width="11.7109375" customWidth="1"/>
    <col min="114" max="114" width="2.28515625" customWidth="1"/>
    <col min="115" max="115" width="1" customWidth="1"/>
    <col min="116" max="116" width="3" customWidth="1"/>
    <col min="117" max="117" width="6" customWidth="1"/>
    <col min="118" max="123" width="3" customWidth="1"/>
    <col min="124" max="125" width="4" customWidth="1"/>
    <col min="126" max="126" width="4.7109375" customWidth="1"/>
    <col min="127" max="130" width="3" customWidth="1"/>
    <col min="131" max="131" width="3.28515625" customWidth="1"/>
    <col min="132" max="132" width="14.140625" bestFit="1" customWidth="1"/>
    <col min="133" max="133" width="8.140625" bestFit="1" customWidth="1"/>
    <col min="134" max="134" width="2.7109375" customWidth="1"/>
    <col min="135" max="135" width="13.85546875" bestFit="1" customWidth="1"/>
    <col min="136" max="136" width="8" hidden="1" customWidth="1"/>
    <col min="140" max="140" width="29.7109375" bestFit="1" customWidth="1"/>
  </cols>
  <sheetData>
    <row r="1" spans="1:136" ht="12.95" customHeight="1">
      <c r="A1" s="1"/>
      <c r="B1" s="1"/>
      <c r="C1" s="1"/>
      <c r="D1" s="2" t="s">
        <v>0</v>
      </c>
      <c r="E1" s="143" t="s">
        <v>1</v>
      </c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"/>
      <c r="AC1" s="1"/>
      <c r="AD1" s="1"/>
      <c r="AE1" s="1"/>
      <c r="AF1" s="1"/>
      <c r="AG1" s="1"/>
      <c r="AH1" s="1">
        <v>19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Y1" s="2" t="s">
        <v>0</v>
      </c>
      <c r="BZ1" s="143" t="s">
        <v>2</v>
      </c>
      <c r="CA1" s="149"/>
      <c r="CB1" s="149"/>
      <c r="CC1" s="149"/>
      <c r="CD1" s="149"/>
      <c r="CE1" s="149"/>
      <c r="CF1" s="149"/>
      <c r="CG1" s="149"/>
      <c r="CH1" s="149"/>
      <c r="CI1" s="149"/>
      <c r="CJ1" s="149"/>
      <c r="CK1" s="149"/>
      <c r="CL1" s="149"/>
      <c r="CM1" s="149"/>
      <c r="CN1" s="149"/>
      <c r="CO1" s="149"/>
      <c r="CP1" s="149"/>
      <c r="CQ1" s="149"/>
      <c r="CR1" s="149"/>
      <c r="CS1" s="149"/>
      <c r="CT1" s="149"/>
      <c r="CU1" s="149"/>
      <c r="CV1" s="149"/>
      <c r="CW1" s="1"/>
      <c r="CX1" s="1"/>
      <c r="CY1" s="1"/>
      <c r="CZ1" s="1"/>
      <c r="DA1" s="1"/>
      <c r="DB1" s="1"/>
      <c r="DC1" s="1">
        <v>19</v>
      </c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2" spans="1:136" ht="12.95">
      <c r="A2" s="1"/>
      <c r="B2" s="1"/>
      <c r="C2" s="1"/>
      <c r="D2" s="3" t="s">
        <v>3</v>
      </c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Y2" s="3" t="s">
        <v>4</v>
      </c>
      <c r="BZ2" s="149"/>
      <c r="CA2" s="149"/>
      <c r="CB2" s="149"/>
      <c r="CC2" s="149"/>
      <c r="CD2" s="149"/>
      <c r="CE2" s="149"/>
      <c r="CF2" s="149"/>
      <c r="CG2" s="149"/>
      <c r="CH2" s="149"/>
      <c r="CI2" s="149"/>
      <c r="CJ2" s="149"/>
      <c r="CK2" s="149"/>
      <c r="CL2" s="149"/>
      <c r="CM2" s="149"/>
      <c r="CN2" s="149"/>
      <c r="CO2" s="149"/>
      <c r="CP2" s="149"/>
      <c r="CQ2" s="149"/>
      <c r="CR2" s="149"/>
      <c r="CS2" s="149"/>
      <c r="CT2" s="149"/>
      <c r="CU2" s="149"/>
      <c r="CV2" s="149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</row>
    <row r="3" spans="1:136" ht="14.1" thickBot="1">
      <c r="A3" s="1" t="s">
        <v>5</v>
      </c>
      <c r="B3" s="1"/>
      <c r="C3" s="1">
        <v>2</v>
      </c>
      <c r="D3" s="2" t="s">
        <v>6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/>
      <c r="T3" s="5"/>
      <c r="U3" s="5"/>
      <c r="W3" s="4"/>
      <c r="X3" s="4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Y3" s="2" t="s">
        <v>6</v>
      </c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5"/>
      <c r="CO3" s="5"/>
      <c r="CP3" s="5"/>
      <c r="CR3" s="4"/>
      <c r="CS3" s="4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</row>
    <row r="4" spans="1:136" ht="14.1" thickBot="1">
      <c r="A4" s="1"/>
      <c r="B4" s="1"/>
      <c r="C4" s="1"/>
      <c r="D4" s="6">
        <v>45847</v>
      </c>
      <c r="E4" s="139" t="s">
        <v>7</v>
      </c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7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Y4" s="6">
        <v>45790</v>
      </c>
      <c r="BZ4" s="139" t="s">
        <v>7</v>
      </c>
      <c r="CA4" s="150"/>
      <c r="CB4" s="150"/>
      <c r="CC4" s="150"/>
      <c r="CD4" s="150"/>
      <c r="CE4" s="150"/>
      <c r="CF4" s="150"/>
      <c r="CG4" s="150"/>
      <c r="CH4" s="150"/>
      <c r="CI4" s="150"/>
      <c r="CJ4" s="150"/>
      <c r="CK4" s="150"/>
      <c r="CL4" s="150"/>
      <c r="CM4" s="150"/>
      <c r="CN4" s="150"/>
      <c r="CO4" s="150"/>
      <c r="CP4" s="150"/>
      <c r="CQ4" s="150"/>
      <c r="CR4" s="150"/>
      <c r="CS4" s="15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7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</row>
    <row r="5" spans="1:136" ht="16.5" customHeight="1" thickBo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8"/>
      <c r="Q5" s="9"/>
      <c r="R5" s="4"/>
      <c r="S5" s="144" t="s">
        <v>8</v>
      </c>
      <c r="T5" s="152"/>
      <c r="U5" s="153"/>
      <c r="V5" s="1"/>
      <c r="W5" s="8"/>
      <c r="X5" s="144" t="s">
        <v>9</v>
      </c>
      <c r="Y5" s="152"/>
      <c r="Z5" s="153"/>
      <c r="AA5" s="9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0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8"/>
      <c r="CL5" s="9"/>
      <c r="CM5" s="4"/>
      <c r="CN5" s="144" t="s">
        <v>8</v>
      </c>
      <c r="CO5" s="152"/>
      <c r="CP5" s="153"/>
      <c r="CQ5" s="1"/>
      <c r="CR5" s="8"/>
      <c r="CS5" s="144" t="s">
        <v>9</v>
      </c>
      <c r="CT5" s="152"/>
      <c r="CU5" s="153"/>
      <c r="CV5" s="9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0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</row>
    <row r="6" spans="1:136" ht="48.75" customHeight="1" thickBot="1">
      <c r="A6" s="1"/>
      <c r="B6" s="1"/>
      <c r="C6" s="1"/>
      <c r="D6" s="11" t="s">
        <v>10</v>
      </c>
      <c r="E6" s="140" t="s">
        <v>11</v>
      </c>
      <c r="F6" s="150"/>
      <c r="G6" s="150"/>
      <c r="H6" s="151"/>
      <c r="I6" s="140" t="s">
        <v>12</v>
      </c>
      <c r="J6" s="150"/>
      <c r="K6" s="150"/>
      <c r="L6" s="151"/>
      <c r="M6" s="139" t="s">
        <v>13</v>
      </c>
      <c r="N6" s="150"/>
      <c r="O6" s="150"/>
      <c r="P6" s="150"/>
      <c r="Q6" s="151"/>
      <c r="R6" s="139" t="s">
        <v>14</v>
      </c>
      <c r="S6" s="150"/>
      <c r="T6" s="150"/>
      <c r="U6" s="150"/>
      <c r="V6" s="151"/>
      <c r="W6" s="145" t="s">
        <v>15</v>
      </c>
      <c r="X6" s="150"/>
      <c r="Y6" s="150"/>
      <c r="Z6" s="151"/>
      <c r="AA6" s="139" t="s">
        <v>16</v>
      </c>
      <c r="AB6" s="150"/>
      <c r="AC6" s="150"/>
      <c r="AD6" s="151"/>
      <c r="AE6" s="139" t="s">
        <v>17</v>
      </c>
      <c r="AF6" s="150"/>
      <c r="AG6" s="150"/>
      <c r="AH6" s="150"/>
      <c r="AI6" s="151"/>
      <c r="AJ6" s="139" t="s">
        <v>18</v>
      </c>
      <c r="AK6" s="150"/>
      <c r="AL6" s="150"/>
      <c r="AM6" s="151"/>
      <c r="AN6" s="12" t="s">
        <v>19</v>
      </c>
      <c r="AO6" s="139" t="s">
        <v>20</v>
      </c>
      <c r="AP6" s="150"/>
      <c r="AQ6" s="150"/>
      <c r="AR6" s="151"/>
      <c r="AS6" s="139" t="s">
        <v>21</v>
      </c>
      <c r="AT6" s="150"/>
      <c r="AU6" s="150"/>
      <c r="AV6" s="150"/>
      <c r="AW6" s="151"/>
      <c r="AX6" s="139" t="s">
        <v>22</v>
      </c>
      <c r="AY6" s="150"/>
      <c r="AZ6" s="150"/>
      <c r="BA6" s="151"/>
      <c r="BB6" s="140" t="s">
        <v>23</v>
      </c>
      <c r="BC6" s="150"/>
      <c r="BD6" s="150"/>
      <c r="BE6" s="15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>
        <f>3052.94+7122.71+9480</f>
        <v>19655.650000000001</v>
      </c>
      <c r="BY6" s="11" t="s">
        <v>10</v>
      </c>
      <c r="BZ6" s="140" t="s">
        <v>11</v>
      </c>
      <c r="CA6" s="150"/>
      <c r="CB6" s="150"/>
      <c r="CC6" s="151"/>
      <c r="CD6" s="140" t="s">
        <v>12</v>
      </c>
      <c r="CE6" s="150"/>
      <c r="CF6" s="150"/>
      <c r="CG6" s="151"/>
      <c r="CH6" s="139" t="s">
        <v>13</v>
      </c>
      <c r="CI6" s="150"/>
      <c r="CJ6" s="150"/>
      <c r="CK6" s="150"/>
      <c r="CL6" s="151"/>
      <c r="CM6" s="139" t="s">
        <v>14</v>
      </c>
      <c r="CN6" s="150"/>
      <c r="CO6" s="150"/>
      <c r="CP6" s="150"/>
      <c r="CQ6" s="151"/>
      <c r="CR6" s="145" t="s">
        <v>15</v>
      </c>
      <c r="CS6" s="150"/>
      <c r="CT6" s="150"/>
      <c r="CU6" s="151"/>
      <c r="CV6" s="139" t="s">
        <v>16</v>
      </c>
      <c r="CW6" s="150"/>
      <c r="CX6" s="150"/>
      <c r="CY6" s="151"/>
      <c r="CZ6" s="139" t="s">
        <v>17</v>
      </c>
      <c r="DA6" s="150"/>
      <c r="DB6" s="150"/>
      <c r="DC6" s="150"/>
      <c r="DD6" s="151"/>
      <c r="DE6" s="139" t="s">
        <v>18</v>
      </c>
      <c r="DF6" s="150"/>
      <c r="DG6" s="150"/>
      <c r="DH6" s="151"/>
      <c r="DI6" s="12" t="s">
        <v>19</v>
      </c>
      <c r="DJ6" s="139" t="s">
        <v>20</v>
      </c>
      <c r="DK6" s="150"/>
      <c r="DL6" s="150"/>
      <c r="DM6" s="151"/>
      <c r="DN6" s="139" t="s">
        <v>21</v>
      </c>
      <c r="DO6" s="150"/>
      <c r="DP6" s="150"/>
      <c r="DQ6" s="150"/>
      <c r="DR6" s="151"/>
      <c r="DS6" s="139" t="s">
        <v>22</v>
      </c>
      <c r="DT6" s="150"/>
      <c r="DU6" s="150"/>
      <c r="DV6" s="151"/>
      <c r="DW6" s="140" t="s">
        <v>23</v>
      </c>
      <c r="DX6" s="150"/>
      <c r="DY6" s="150"/>
      <c r="DZ6" s="151"/>
      <c r="EA6" s="1"/>
      <c r="EB6" s="1"/>
      <c r="EC6" s="1"/>
      <c r="ED6" s="1"/>
      <c r="EE6" s="1"/>
      <c r="EF6" s="1"/>
    </row>
    <row r="7" spans="1:136" ht="14.1" thickBot="1">
      <c r="A7" s="13"/>
      <c r="B7" s="14"/>
      <c r="C7" s="14"/>
      <c r="D7" s="11" t="s">
        <v>24</v>
      </c>
      <c r="E7" s="139" t="s">
        <v>25</v>
      </c>
      <c r="F7" s="150"/>
      <c r="G7" s="150"/>
      <c r="H7" s="151"/>
      <c r="I7" s="139" t="s">
        <v>26</v>
      </c>
      <c r="J7" s="150"/>
      <c r="K7" s="150"/>
      <c r="L7" s="151"/>
      <c r="M7" s="139" t="s">
        <v>27</v>
      </c>
      <c r="N7" s="150"/>
      <c r="O7" s="150"/>
      <c r="P7" s="150"/>
      <c r="Q7" s="151"/>
      <c r="R7" s="141" t="s">
        <v>28</v>
      </c>
      <c r="S7" s="154"/>
      <c r="T7" s="154"/>
      <c r="U7" s="154"/>
      <c r="V7" s="155"/>
      <c r="W7" s="139" t="s">
        <v>29</v>
      </c>
      <c r="X7" s="150"/>
      <c r="Y7" s="150"/>
      <c r="Z7" s="151"/>
      <c r="AA7" s="139" t="s">
        <v>30</v>
      </c>
      <c r="AB7" s="150"/>
      <c r="AC7" s="150"/>
      <c r="AD7" s="151"/>
      <c r="AE7" s="139" t="s">
        <v>31</v>
      </c>
      <c r="AF7" s="150"/>
      <c r="AG7" s="150"/>
      <c r="AH7" s="150"/>
      <c r="AI7" s="151"/>
      <c r="AJ7" s="139" t="s">
        <v>32</v>
      </c>
      <c r="AK7" s="150"/>
      <c r="AL7" s="150"/>
      <c r="AM7" s="151"/>
      <c r="AN7" s="15" t="s">
        <v>33</v>
      </c>
      <c r="AO7" s="139" t="s">
        <v>33</v>
      </c>
      <c r="AP7" s="150"/>
      <c r="AQ7" s="150"/>
      <c r="AR7" s="151"/>
      <c r="AS7" s="139" t="s">
        <v>34</v>
      </c>
      <c r="AT7" s="150"/>
      <c r="AU7" s="150"/>
      <c r="AV7" s="150"/>
      <c r="AW7" s="151"/>
      <c r="AX7" s="139" t="s">
        <v>35</v>
      </c>
      <c r="AY7" s="150"/>
      <c r="AZ7" s="150"/>
      <c r="BA7" s="151"/>
      <c r="BB7" s="139" t="s">
        <v>36</v>
      </c>
      <c r="BC7" s="150"/>
      <c r="BD7" s="150"/>
      <c r="BE7" s="151"/>
      <c r="BF7" s="16"/>
      <c r="BG7" s="15" t="s">
        <v>37</v>
      </c>
      <c r="BH7" s="15" t="s">
        <v>38</v>
      </c>
      <c r="BJ7" s="15" t="s">
        <v>39</v>
      </c>
      <c r="BK7" s="15" t="s">
        <v>38</v>
      </c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Y7" s="11" t="s">
        <v>24</v>
      </c>
      <c r="BZ7" s="139" t="s">
        <v>25</v>
      </c>
      <c r="CA7" s="150"/>
      <c r="CB7" s="150"/>
      <c r="CC7" s="151"/>
      <c r="CD7" s="139" t="s">
        <v>26</v>
      </c>
      <c r="CE7" s="150"/>
      <c r="CF7" s="150"/>
      <c r="CG7" s="151"/>
      <c r="CH7" s="139" t="s">
        <v>27</v>
      </c>
      <c r="CI7" s="150"/>
      <c r="CJ7" s="150"/>
      <c r="CK7" s="150"/>
      <c r="CL7" s="151"/>
      <c r="CM7" s="141" t="s">
        <v>28</v>
      </c>
      <c r="CN7" s="154"/>
      <c r="CO7" s="154"/>
      <c r="CP7" s="154"/>
      <c r="CQ7" s="155"/>
      <c r="CR7" s="139" t="s">
        <v>29</v>
      </c>
      <c r="CS7" s="150"/>
      <c r="CT7" s="150"/>
      <c r="CU7" s="151"/>
      <c r="CV7" s="139" t="s">
        <v>30</v>
      </c>
      <c r="CW7" s="150"/>
      <c r="CX7" s="150"/>
      <c r="CY7" s="151"/>
      <c r="CZ7" s="139" t="s">
        <v>31</v>
      </c>
      <c r="DA7" s="150"/>
      <c r="DB7" s="150"/>
      <c r="DC7" s="150"/>
      <c r="DD7" s="151"/>
      <c r="DE7" s="139" t="s">
        <v>32</v>
      </c>
      <c r="DF7" s="150"/>
      <c r="DG7" s="150"/>
      <c r="DH7" s="151"/>
      <c r="DI7" s="15" t="s">
        <v>33</v>
      </c>
      <c r="DJ7" s="139" t="s">
        <v>33</v>
      </c>
      <c r="DK7" s="150"/>
      <c r="DL7" s="150"/>
      <c r="DM7" s="151"/>
      <c r="DN7" s="139" t="s">
        <v>34</v>
      </c>
      <c r="DO7" s="150"/>
      <c r="DP7" s="150"/>
      <c r="DQ7" s="150"/>
      <c r="DR7" s="151"/>
      <c r="DS7" s="139" t="s">
        <v>35</v>
      </c>
      <c r="DT7" s="150"/>
      <c r="DU7" s="150"/>
      <c r="DV7" s="151"/>
      <c r="DW7" s="139" t="s">
        <v>36</v>
      </c>
      <c r="DX7" s="150"/>
      <c r="DY7" s="150"/>
      <c r="DZ7" s="151"/>
      <c r="EA7" s="16"/>
      <c r="EB7" s="15" t="s">
        <v>37</v>
      </c>
      <c r="EC7" s="15" t="s">
        <v>38</v>
      </c>
      <c r="EE7" s="15" t="s">
        <v>40</v>
      </c>
      <c r="EF7" s="15" t="s">
        <v>38</v>
      </c>
    </row>
    <row r="8" spans="1:136" ht="14.1" thickBot="1">
      <c r="A8" s="17"/>
      <c r="B8" s="17"/>
      <c r="C8" s="17"/>
      <c r="D8" s="18" t="s">
        <v>41</v>
      </c>
      <c r="E8" s="19">
        <v>4</v>
      </c>
      <c r="F8" s="19">
        <v>11</v>
      </c>
      <c r="G8" s="19">
        <v>18</v>
      </c>
      <c r="H8" s="19">
        <v>25</v>
      </c>
      <c r="I8" s="19">
        <v>2</v>
      </c>
      <c r="J8" s="19">
        <v>9</v>
      </c>
      <c r="K8" s="19">
        <v>16</v>
      </c>
      <c r="L8" s="19">
        <v>23</v>
      </c>
      <c r="M8" s="19">
        <v>30</v>
      </c>
      <c r="N8" s="19">
        <v>6</v>
      </c>
      <c r="O8" s="19">
        <v>13</v>
      </c>
      <c r="P8" s="19">
        <v>20</v>
      </c>
      <c r="Q8" s="19">
        <v>27</v>
      </c>
      <c r="R8" s="136">
        <v>3</v>
      </c>
      <c r="S8" s="151"/>
      <c r="T8" s="19">
        <v>10</v>
      </c>
      <c r="U8" s="19">
        <v>17</v>
      </c>
      <c r="V8" s="19">
        <v>24</v>
      </c>
      <c r="W8" s="19">
        <v>3</v>
      </c>
      <c r="X8" s="66">
        <v>10</v>
      </c>
      <c r="Y8" s="66">
        <v>17</v>
      </c>
      <c r="Z8" s="66">
        <v>24</v>
      </c>
      <c r="AA8" s="68">
        <v>31</v>
      </c>
      <c r="AB8" s="66">
        <v>7</v>
      </c>
      <c r="AC8" s="67">
        <v>14</v>
      </c>
      <c r="AD8" s="66">
        <v>21</v>
      </c>
      <c r="AE8" s="68">
        <v>28</v>
      </c>
      <c r="AF8" s="66">
        <v>5</v>
      </c>
      <c r="AG8" s="66">
        <v>12</v>
      </c>
      <c r="AH8" s="19">
        <v>19</v>
      </c>
      <c r="AI8" s="19">
        <v>26</v>
      </c>
      <c r="AJ8" s="19">
        <v>2</v>
      </c>
      <c r="AK8" s="19">
        <v>9</v>
      </c>
      <c r="AL8" s="19">
        <v>16</v>
      </c>
      <c r="AM8" s="19">
        <v>23</v>
      </c>
      <c r="AN8" s="20">
        <v>30</v>
      </c>
      <c r="AO8" s="136">
        <v>7</v>
      </c>
      <c r="AP8" s="151"/>
      <c r="AQ8" s="19">
        <v>14</v>
      </c>
      <c r="AR8" s="19">
        <v>21</v>
      </c>
      <c r="AS8" s="19">
        <v>28</v>
      </c>
      <c r="AT8" s="19">
        <v>4</v>
      </c>
      <c r="AU8" s="19">
        <v>11</v>
      </c>
      <c r="AV8" s="19">
        <v>18</v>
      </c>
      <c r="AW8" s="19">
        <v>25</v>
      </c>
      <c r="AX8" s="19">
        <v>1</v>
      </c>
      <c r="AY8" s="20">
        <v>8</v>
      </c>
      <c r="AZ8" s="20">
        <v>15</v>
      </c>
      <c r="BA8" s="19">
        <v>22</v>
      </c>
      <c r="BB8" s="19">
        <v>29</v>
      </c>
      <c r="BC8" s="19">
        <v>6</v>
      </c>
      <c r="BD8" s="19">
        <v>13</v>
      </c>
      <c r="BE8" s="19">
        <v>20</v>
      </c>
      <c r="BF8" s="21"/>
      <c r="BG8" s="22"/>
      <c r="BH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Y8" s="18" t="s">
        <v>41</v>
      </c>
      <c r="BZ8" s="19">
        <v>4</v>
      </c>
      <c r="CA8" s="19">
        <v>11</v>
      </c>
      <c r="CB8" s="19">
        <v>18</v>
      </c>
      <c r="CC8" s="19">
        <v>25</v>
      </c>
      <c r="CD8" s="19">
        <v>2</v>
      </c>
      <c r="CE8" s="19">
        <v>9</v>
      </c>
      <c r="CF8" s="19">
        <v>16</v>
      </c>
      <c r="CG8" s="19">
        <v>23</v>
      </c>
      <c r="CH8" s="19">
        <v>30</v>
      </c>
      <c r="CI8" s="19">
        <v>6</v>
      </c>
      <c r="CJ8" s="19">
        <v>13</v>
      </c>
      <c r="CK8" s="19">
        <v>20</v>
      </c>
      <c r="CL8" s="19">
        <v>27</v>
      </c>
      <c r="CM8" s="136">
        <v>3</v>
      </c>
      <c r="CN8" s="151"/>
      <c r="CO8" s="19">
        <v>10</v>
      </c>
      <c r="CP8" s="19">
        <v>17</v>
      </c>
      <c r="CQ8" s="19">
        <v>24</v>
      </c>
      <c r="CR8" s="19">
        <v>3</v>
      </c>
      <c r="CS8" s="66">
        <v>10</v>
      </c>
      <c r="CT8" s="66">
        <v>17</v>
      </c>
      <c r="CU8" s="66">
        <v>24</v>
      </c>
      <c r="CV8" s="68">
        <v>31</v>
      </c>
      <c r="CW8" s="66">
        <v>7</v>
      </c>
      <c r="CX8" s="67">
        <v>14</v>
      </c>
      <c r="CY8" s="66">
        <v>21</v>
      </c>
      <c r="CZ8" s="68">
        <v>28</v>
      </c>
      <c r="DA8" s="66">
        <v>5</v>
      </c>
      <c r="DB8" s="66">
        <v>12</v>
      </c>
      <c r="DC8" s="19">
        <v>19</v>
      </c>
      <c r="DD8" s="19">
        <v>26</v>
      </c>
      <c r="DE8" s="19">
        <v>2</v>
      </c>
      <c r="DF8" s="19">
        <v>9</v>
      </c>
      <c r="DG8" s="19">
        <v>16</v>
      </c>
      <c r="DH8" s="19">
        <v>23</v>
      </c>
      <c r="DI8" s="20">
        <v>30</v>
      </c>
      <c r="DJ8" s="136">
        <v>7</v>
      </c>
      <c r="DK8" s="151"/>
      <c r="DL8" s="19">
        <v>14</v>
      </c>
      <c r="DM8" s="19">
        <v>21</v>
      </c>
      <c r="DN8" s="19">
        <v>28</v>
      </c>
      <c r="DO8" s="19">
        <v>4</v>
      </c>
      <c r="DP8" s="19">
        <v>11</v>
      </c>
      <c r="DQ8" s="19">
        <v>18</v>
      </c>
      <c r="DR8" s="19">
        <v>25</v>
      </c>
      <c r="DS8" s="19">
        <v>1</v>
      </c>
      <c r="DT8" s="20">
        <v>8</v>
      </c>
      <c r="DU8" s="20">
        <v>15</v>
      </c>
      <c r="DV8" s="19">
        <v>22</v>
      </c>
      <c r="DW8" s="19">
        <v>29</v>
      </c>
      <c r="DX8" s="19">
        <v>6</v>
      </c>
      <c r="DY8" s="19">
        <v>13</v>
      </c>
      <c r="DZ8" s="19">
        <v>20</v>
      </c>
      <c r="EA8" s="21"/>
      <c r="EB8" s="22"/>
      <c r="EC8" s="22"/>
      <c r="EE8" s="22"/>
      <c r="EF8" s="22"/>
    </row>
    <row r="9" spans="1:136" ht="18">
      <c r="A9" s="23"/>
      <c r="B9" s="23"/>
      <c r="C9" s="23"/>
      <c r="D9" s="104" t="s">
        <v>42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5"/>
      <c r="BF9" s="26"/>
      <c r="BG9" s="27"/>
      <c r="BH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Y9" s="104" t="s">
        <v>42</v>
      </c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5"/>
      <c r="EA9" s="26"/>
      <c r="EB9" s="27"/>
      <c r="EC9" s="27"/>
      <c r="EE9" s="27"/>
      <c r="EF9" s="27"/>
    </row>
    <row r="10" spans="1:136" ht="18.95" thickBot="1">
      <c r="A10" s="23"/>
      <c r="B10" s="23"/>
      <c r="C10" s="23"/>
      <c r="D10" s="156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3"/>
      <c r="R10" s="23"/>
      <c r="S10" s="23"/>
      <c r="T10" s="23"/>
      <c r="U10" s="23"/>
      <c r="V10" s="23"/>
      <c r="W10" s="137"/>
      <c r="X10" s="149"/>
      <c r="Y10" s="149"/>
      <c r="Z10" s="149"/>
      <c r="AA10" s="138">
        <v>875000</v>
      </c>
      <c r="AB10" s="149"/>
      <c r="AC10" s="149"/>
      <c r="AD10" s="149"/>
      <c r="AE10" s="137"/>
      <c r="AF10" s="149"/>
      <c r="AG10" s="149"/>
      <c r="AH10" s="149"/>
      <c r="AI10" s="149"/>
      <c r="AJ10" s="23"/>
      <c r="AK10" s="23"/>
      <c r="AL10" s="23"/>
      <c r="AM10" s="23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9"/>
      <c r="BF10" s="26"/>
      <c r="BG10" s="27"/>
      <c r="BH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Y10" s="156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3"/>
      <c r="CM10" s="23"/>
      <c r="CN10" s="23"/>
      <c r="CO10" s="23"/>
      <c r="CP10" s="23"/>
      <c r="CQ10" s="23"/>
      <c r="CR10" s="137"/>
      <c r="CS10" s="149"/>
      <c r="CT10" s="149"/>
      <c r="CU10" s="149"/>
      <c r="CV10" s="138">
        <v>875000</v>
      </c>
      <c r="CW10" s="149"/>
      <c r="CX10" s="149"/>
      <c r="CY10" s="149"/>
      <c r="CZ10" s="137"/>
      <c r="DA10" s="149"/>
      <c r="DB10" s="149"/>
      <c r="DC10" s="149"/>
      <c r="DD10" s="149"/>
      <c r="DE10" s="23"/>
      <c r="DF10" s="23"/>
      <c r="DG10" s="23"/>
      <c r="DH10" s="23"/>
      <c r="DI10" s="28"/>
      <c r="DJ10" s="28"/>
      <c r="DK10" s="28"/>
      <c r="DL10" s="28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9"/>
      <c r="EA10" s="26"/>
      <c r="EB10" s="27"/>
      <c r="EC10" s="27"/>
      <c r="EE10" s="27"/>
      <c r="EF10" s="27"/>
    </row>
    <row r="11" spans="1:136" ht="14.1" customHeight="1" thickBot="1">
      <c r="A11" s="30" t="s">
        <v>43</v>
      </c>
      <c r="B11" s="30"/>
      <c r="C11" s="30"/>
      <c r="D11" s="31" t="s">
        <v>44</v>
      </c>
      <c r="E11" s="157">
        <v>0</v>
      </c>
      <c r="F11" s="150"/>
      <c r="G11" s="150"/>
      <c r="H11" s="151"/>
      <c r="I11" s="157">
        <v>0</v>
      </c>
      <c r="J11" s="150"/>
      <c r="K11" s="150"/>
      <c r="L11" s="151"/>
      <c r="M11" s="157">
        <v>0</v>
      </c>
      <c r="N11" s="150"/>
      <c r="O11" s="150"/>
      <c r="P11" s="150"/>
      <c r="Q11" s="151"/>
      <c r="R11" s="157">
        <v>0</v>
      </c>
      <c r="S11" s="150"/>
      <c r="T11" s="150"/>
      <c r="U11" s="150"/>
      <c r="V11" s="151"/>
      <c r="W11" s="157">
        <f>275000</f>
        <v>275000</v>
      </c>
      <c r="X11" s="150"/>
      <c r="Y11" s="150"/>
      <c r="Z11" s="151"/>
      <c r="AA11" s="157">
        <v>275000</v>
      </c>
      <c r="AB11" s="150"/>
      <c r="AC11" s="150"/>
      <c r="AD11" s="151"/>
      <c r="AE11" s="157">
        <v>180000</v>
      </c>
      <c r="AF11" s="150"/>
      <c r="AG11" s="150"/>
      <c r="AH11" s="150"/>
      <c r="AI11" s="151"/>
      <c r="AJ11" s="157">
        <v>0</v>
      </c>
      <c r="AK11" s="150"/>
      <c r="AL11" s="150"/>
      <c r="AM11" s="151"/>
      <c r="AN11" s="87">
        <v>0</v>
      </c>
      <c r="AO11" s="157">
        <v>150000</v>
      </c>
      <c r="AP11" s="150"/>
      <c r="AQ11" s="150"/>
      <c r="AR11" s="151"/>
      <c r="AS11" s="157">
        <v>0</v>
      </c>
      <c r="AT11" s="150"/>
      <c r="AU11" s="150"/>
      <c r="AV11" s="150"/>
      <c r="AW11" s="151"/>
      <c r="AX11" s="157">
        <v>140000</v>
      </c>
      <c r="AY11" s="150"/>
      <c r="AZ11" s="150"/>
      <c r="BA11" s="151"/>
      <c r="BB11" s="157">
        <v>0</v>
      </c>
      <c r="BC11" s="150"/>
      <c r="BD11" s="150"/>
      <c r="BE11" s="151"/>
      <c r="BF11" s="32"/>
      <c r="BG11" s="33">
        <f>SUM(E11:BE11)</f>
        <v>1020000</v>
      </c>
      <c r="BH11" s="34">
        <f>BG11/BG40</f>
        <v>0.31935246641169729</v>
      </c>
      <c r="BJ11" s="33">
        <v>1343340.4990000001</v>
      </c>
      <c r="BK11" s="34">
        <f>BJ11/$BJ$40</f>
        <v>0.38896448157710189</v>
      </c>
      <c r="BL11" s="35"/>
      <c r="BM11" s="35"/>
      <c r="BN11" s="142" t="s">
        <v>45</v>
      </c>
      <c r="BO11" s="142"/>
      <c r="BP11" s="142"/>
      <c r="BQ11" s="142"/>
      <c r="BR11" s="142"/>
      <c r="BS11" s="142"/>
      <c r="BT11" s="142"/>
      <c r="BU11" s="142"/>
      <c r="BV11" s="142"/>
      <c r="BW11" s="142"/>
      <c r="BY11" s="31" t="s">
        <v>44</v>
      </c>
      <c r="BZ11" s="157">
        <v>0</v>
      </c>
      <c r="CA11" s="150"/>
      <c r="CB11" s="150"/>
      <c r="CC11" s="151"/>
      <c r="CD11" s="157">
        <v>0</v>
      </c>
      <c r="CE11" s="150"/>
      <c r="CF11" s="150"/>
      <c r="CG11" s="151"/>
      <c r="CH11" s="157">
        <v>0</v>
      </c>
      <c r="CI11" s="150"/>
      <c r="CJ11" s="150"/>
      <c r="CK11" s="150"/>
      <c r="CL11" s="151"/>
      <c r="CM11" s="157">
        <v>0</v>
      </c>
      <c r="CN11" s="150"/>
      <c r="CO11" s="150"/>
      <c r="CP11" s="150"/>
      <c r="CQ11" s="151"/>
      <c r="CR11" s="157">
        <v>305634.15000000002</v>
      </c>
      <c r="CS11" s="150"/>
      <c r="CT11" s="150"/>
      <c r="CU11" s="151"/>
      <c r="CV11" s="157">
        <v>265083.71999999997</v>
      </c>
      <c r="CW11" s="150"/>
      <c r="CX11" s="150"/>
      <c r="CY11" s="151"/>
      <c r="CZ11" s="157">
        <v>173708.26</v>
      </c>
      <c r="DA11" s="150"/>
      <c r="DB11" s="150"/>
      <c r="DC11" s="150"/>
      <c r="DD11" s="151"/>
      <c r="DE11" s="157">
        <v>0</v>
      </c>
      <c r="DF11" s="150"/>
      <c r="DG11" s="150"/>
      <c r="DH11" s="151"/>
      <c r="DI11" s="89">
        <v>142483.37</v>
      </c>
      <c r="DJ11" s="90"/>
      <c r="DK11" s="90"/>
      <c r="DL11" s="90"/>
      <c r="DM11" s="91"/>
      <c r="DN11" s="157">
        <v>11113.54</v>
      </c>
      <c r="DO11" s="150"/>
      <c r="DP11" s="150"/>
      <c r="DQ11" s="150"/>
      <c r="DR11" s="151"/>
      <c r="DS11" s="158">
        <f>69961.74+70008.6+4205</f>
        <v>144175.34000000003</v>
      </c>
      <c r="DT11" s="159"/>
      <c r="DU11" s="159"/>
      <c r="DV11" s="160"/>
      <c r="DW11" s="158"/>
      <c r="DX11" s="159"/>
      <c r="DY11" s="159"/>
      <c r="DZ11" s="160"/>
      <c r="EA11" s="32"/>
      <c r="EB11" s="33">
        <f>SUM(BZ11:DZ11)</f>
        <v>1042198.3800000001</v>
      </c>
      <c r="EC11" s="34">
        <f>EB11/EB40</f>
        <v>0.31704032329037146</v>
      </c>
      <c r="EE11" s="33">
        <f>EB11-BG11</f>
        <v>22198.380000000121</v>
      </c>
      <c r="EF11" s="34">
        <f>EE11/$BJ$40</f>
        <v>6.4275448964570773E-3</v>
      </c>
    </row>
    <row r="12" spans="1:136" ht="15" thickBot="1">
      <c r="A12" s="30"/>
      <c r="B12" s="30"/>
      <c r="C12" s="30"/>
      <c r="D12" s="31" t="s">
        <v>46</v>
      </c>
      <c r="E12" s="157">
        <f>2442.5+1989</f>
        <v>4431.5</v>
      </c>
      <c r="F12" s="150"/>
      <c r="G12" s="150"/>
      <c r="H12" s="151"/>
      <c r="I12" s="157">
        <v>0</v>
      </c>
      <c r="J12" s="150"/>
      <c r="K12" s="150"/>
      <c r="L12" s="151"/>
      <c r="M12" s="157">
        <v>0</v>
      </c>
      <c r="N12" s="150"/>
      <c r="O12" s="150"/>
      <c r="P12" s="150"/>
      <c r="Q12" s="151"/>
      <c r="R12" s="157">
        <v>92077.84</v>
      </c>
      <c r="S12" s="150"/>
      <c r="T12" s="150"/>
      <c r="U12" s="150"/>
      <c r="V12" s="151"/>
      <c r="W12" s="157">
        <v>0</v>
      </c>
      <c r="X12" s="150"/>
      <c r="Y12" s="150"/>
      <c r="Z12" s="151"/>
      <c r="AA12" s="157">
        <v>149831.51</v>
      </c>
      <c r="AB12" s="150"/>
      <c r="AC12" s="150"/>
      <c r="AD12" s="151"/>
      <c r="AE12" s="157">
        <v>137984.92000000001</v>
      </c>
      <c r="AF12" s="150"/>
      <c r="AG12" s="150"/>
      <c r="AH12" s="150"/>
      <c r="AI12" s="151"/>
      <c r="AJ12" s="157">
        <v>135501.51999999999</v>
      </c>
      <c r="AK12" s="150"/>
      <c r="AL12" s="150"/>
      <c r="AM12" s="151"/>
      <c r="AN12" s="88">
        <v>90000</v>
      </c>
      <c r="AO12" s="157">
        <v>46914.01</v>
      </c>
      <c r="AP12" s="150"/>
      <c r="AQ12" s="150"/>
      <c r="AR12" s="151"/>
      <c r="AS12" s="157">
        <v>67904.639999999999</v>
      </c>
      <c r="AT12" s="150"/>
      <c r="AU12" s="150"/>
      <c r="AV12" s="150"/>
      <c r="AW12" s="151"/>
      <c r="AX12" s="157">
        <v>0</v>
      </c>
      <c r="AY12" s="150"/>
      <c r="AZ12" s="150"/>
      <c r="BA12" s="151"/>
      <c r="BB12" s="157">
        <v>61131.1</v>
      </c>
      <c r="BC12" s="150"/>
      <c r="BD12" s="150"/>
      <c r="BE12" s="151"/>
      <c r="BF12" s="32"/>
      <c r="BG12" s="33">
        <f t="shared" ref="BG12:BG15" si="0">SUM(E12:BE12)</f>
        <v>785777.04</v>
      </c>
      <c r="BH12" s="34">
        <f>BG12/BG40</f>
        <v>0.24601944683694407</v>
      </c>
      <c r="BJ12" s="33">
        <v>875729.99</v>
      </c>
      <c r="BK12" s="34">
        <f>BJ12/$BJ$40</f>
        <v>0.25356777512137718</v>
      </c>
      <c r="BL12" s="35"/>
      <c r="BM12" s="35"/>
      <c r="BN12" s="142"/>
      <c r="BO12" s="142"/>
      <c r="BP12" s="142"/>
      <c r="BQ12" s="142"/>
      <c r="BR12" s="142"/>
      <c r="BS12" s="142"/>
      <c r="BT12" s="142"/>
      <c r="BU12" s="142"/>
      <c r="BV12" s="142"/>
      <c r="BW12" s="142"/>
      <c r="BY12" s="31" t="s">
        <v>46</v>
      </c>
      <c r="BZ12" s="157">
        <f>2422.5+1989</f>
        <v>4411.5</v>
      </c>
      <c r="CA12" s="150"/>
      <c r="CB12" s="150"/>
      <c r="CC12" s="151"/>
      <c r="CD12" s="157">
        <v>0</v>
      </c>
      <c r="CE12" s="150"/>
      <c r="CF12" s="150"/>
      <c r="CG12" s="151"/>
      <c r="CH12" s="157">
        <v>0</v>
      </c>
      <c r="CI12" s="150"/>
      <c r="CJ12" s="150"/>
      <c r="CK12" s="150"/>
      <c r="CL12" s="151"/>
      <c r="CM12" s="157">
        <f>88301.47</f>
        <v>88301.47</v>
      </c>
      <c r="CN12" s="150"/>
      <c r="CO12" s="150"/>
      <c r="CP12" s="150"/>
      <c r="CQ12" s="151"/>
      <c r="CR12" s="157">
        <v>3653.8</v>
      </c>
      <c r="CS12" s="150"/>
      <c r="CT12" s="150"/>
      <c r="CU12" s="151"/>
      <c r="CV12" s="157">
        <v>148859.51999999999</v>
      </c>
      <c r="CW12" s="150"/>
      <c r="CX12" s="150"/>
      <c r="CY12" s="151"/>
      <c r="CZ12" s="157">
        <v>149745.42000000001</v>
      </c>
      <c r="DA12" s="150"/>
      <c r="DB12" s="150"/>
      <c r="DC12" s="150"/>
      <c r="DD12" s="151"/>
      <c r="DE12" s="157">
        <v>145408.57</v>
      </c>
      <c r="DF12" s="150"/>
      <c r="DG12" s="150"/>
      <c r="DH12" s="151"/>
      <c r="DI12" s="89">
        <v>162927.32999999999</v>
      </c>
      <c r="DJ12" s="90"/>
      <c r="DK12" s="90"/>
      <c r="DL12" s="90"/>
      <c r="DM12" s="91"/>
      <c r="DN12" s="157">
        <v>66588.53</v>
      </c>
      <c r="DO12" s="150"/>
      <c r="DP12" s="150"/>
      <c r="DQ12" s="150"/>
      <c r="DR12" s="151"/>
      <c r="DS12" s="158">
        <f>3712+2240</f>
        <v>5952</v>
      </c>
      <c r="DT12" s="159"/>
      <c r="DU12" s="159"/>
      <c r="DV12" s="160"/>
      <c r="DW12" s="158">
        <v>60982.54</v>
      </c>
      <c r="DX12" s="159"/>
      <c r="DY12" s="159"/>
      <c r="DZ12" s="160"/>
      <c r="EA12" s="32"/>
      <c r="EB12" s="33">
        <f t="shared" ref="EB12:EB15" si="1">SUM(BZ12:DZ12)</f>
        <v>836830.68</v>
      </c>
      <c r="EC12" s="34">
        <f>EB12/EB40</f>
        <v>0.25456676427236569</v>
      </c>
      <c r="EE12" s="33">
        <f>EB12-BG12</f>
        <v>51053.640000000014</v>
      </c>
      <c r="EF12" s="34">
        <f>EE12/$BJ$40</f>
        <v>1.4782590586680435E-2</v>
      </c>
    </row>
    <row r="13" spans="1:136" ht="15" thickBot="1">
      <c r="A13" s="36"/>
      <c r="B13" s="36"/>
      <c r="C13" s="36"/>
      <c r="D13" s="37" t="s">
        <v>47</v>
      </c>
      <c r="E13" s="157">
        <v>0</v>
      </c>
      <c r="F13" s="150"/>
      <c r="G13" s="150"/>
      <c r="H13" s="151"/>
      <c r="I13" s="157">
        <v>0</v>
      </c>
      <c r="J13" s="150"/>
      <c r="K13" s="150"/>
      <c r="L13" s="151"/>
      <c r="M13" s="157">
        <v>65000</v>
      </c>
      <c r="N13" s="150"/>
      <c r="O13" s="150"/>
      <c r="P13" s="150"/>
      <c r="Q13" s="151"/>
      <c r="R13" s="157">
        <v>20000</v>
      </c>
      <c r="S13" s="150"/>
      <c r="T13" s="150"/>
      <c r="U13" s="150"/>
      <c r="V13" s="151"/>
      <c r="W13" s="157">
        <v>20000</v>
      </c>
      <c r="X13" s="150"/>
      <c r="Y13" s="150"/>
      <c r="Z13" s="151"/>
      <c r="AA13" s="157">
        <v>0</v>
      </c>
      <c r="AB13" s="150"/>
      <c r="AC13" s="150"/>
      <c r="AD13" s="151"/>
      <c r="AE13" s="161">
        <v>60000</v>
      </c>
      <c r="AF13" s="150"/>
      <c r="AG13" s="150"/>
      <c r="AH13" s="150"/>
      <c r="AI13" s="151"/>
      <c r="AJ13" s="157">
        <v>0</v>
      </c>
      <c r="AK13" s="150"/>
      <c r="AL13" s="150"/>
      <c r="AM13" s="151"/>
      <c r="AN13" s="88">
        <v>0</v>
      </c>
      <c r="AO13" s="162">
        <v>0</v>
      </c>
      <c r="AP13" s="150"/>
      <c r="AQ13" s="150"/>
      <c r="AR13" s="151"/>
      <c r="AS13" s="157">
        <v>0</v>
      </c>
      <c r="AT13" s="150"/>
      <c r="AU13" s="150"/>
      <c r="AV13" s="150"/>
      <c r="AW13" s="151"/>
      <c r="AX13" s="157">
        <v>0</v>
      </c>
      <c r="AY13" s="150"/>
      <c r="AZ13" s="150"/>
      <c r="BA13" s="151"/>
      <c r="BB13" s="157">
        <v>0</v>
      </c>
      <c r="BC13" s="150"/>
      <c r="BD13" s="150"/>
      <c r="BE13" s="151"/>
      <c r="BF13" s="32"/>
      <c r="BG13" s="33">
        <f t="shared" si="0"/>
        <v>165000</v>
      </c>
      <c r="BH13" s="34">
        <f>BG13/BG40</f>
        <v>5.1659957801892212E-2</v>
      </c>
      <c r="BJ13" s="33">
        <v>11155.65</v>
      </c>
      <c r="BK13" s="34">
        <f>BJ13/$BJ$40</f>
        <v>3.2301204513194657E-3</v>
      </c>
      <c r="BL13" s="35"/>
      <c r="BM13" s="35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Y13" s="37" t="s">
        <v>47</v>
      </c>
      <c r="BZ13" s="157">
        <v>0</v>
      </c>
      <c r="CA13" s="150"/>
      <c r="CB13" s="150"/>
      <c r="CC13" s="151"/>
      <c r="CD13" s="157">
        <v>0</v>
      </c>
      <c r="CE13" s="150"/>
      <c r="CF13" s="150"/>
      <c r="CG13" s="151"/>
      <c r="CH13" s="157">
        <v>68408.03</v>
      </c>
      <c r="CI13" s="150"/>
      <c r="CJ13" s="150"/>
      <c r="CK13" s="150"/>
      <c r="CL13" s="151"/>
      <c r="CM13" s="157">
        <v>3555</v>
      </c>
      <c r="CN13" s="150"/>
      <c r="CO13" s="150"/>
      <c r="CP13" s="150"/>
      <c r="CQ13" s="151"/>
      <c r="CR13" s="157">
        <v>42641</v>
      </c>
      <c r="CS13" s="150"/>
      <c r="CT13" s="150"/>
      <c r="CU13" s="151"/>
      <c r="CV13" s="157">
        <v>0</v>
      </c>
      <c r="CW13" s="150"/>
      <c r="CX13" s="150"/>
      <c r="CY13" s="151"/>
      <c r="CZ13" s="161">
        <v>31617</v>
      </c>
      <c r="DA13" s="150"/>
      <c r="DB13" s="150"/>
      <c r="DC13" s="150"/>
      <c r="DD13" s="151"/>
      <c r="DE13" s="157">
        <v>32379</v>
      </c>
      <c r="DF13" s="150"/>
      <c r="DG13" s="150"/>
      <c r="DH13" s="151"/>
      <c r="DI13" s="89">
        <v>0</v>
      </c>
      <c r="DJ13" s="90"/>
      <c r="DK13" s="90"/>
      <c r="DL13" s="90"/>
      <c r="DM13" s="91"/>
      <c r="DN13" s="157">
        <v>9153</v>
      </c>
      <c r="DO13" s="150"/>
      <c r="DP13" s="150"/>
      <c r="DQ13" s="150"/>
      <c r="DR13" s="151"/>
      <c r="DS13" s="158">
        <v>0</v>
      </c>
      <c r="DT13" s="159"/>
      <c r="DU13" s="159"/>
      <c r="DV13" s="160"/>
      <c r="DW13" s="158"/>
      <c r="DX13" s="159"/>
      <c r="DY13" s="159"/>
      <c r="DZ13" s="160"/>
      <c r="EA13" s="32"/>
      <c r="EB13" s="33">
        <f t="shared" si="1"/>
        <v>187753.03</v>
      </c>
      <c r="EC13" s="34">
        <f>EB13/EB40</f>
        <v>5.7115115962804323E-2</v>
      </c>
      <c r="EE13" s="33">
        <f>EB13-BG13</f>
        <v>22753.03</v>
      </c>
      <c r="EF13" s="34">
        <f>EE13/$BJ$40</f>
        <v>6.5881439030881523E-3</v>
      </c>
    </row>
    <row r="14" spans="1:136" ht="15" thickBot="1">
      <c r="A14" s="36"/>
      <c r="B14" s="36"/>
      <c r="C14" s="36"/>
      <c r="D14" s="37" t="s">
        <v>48</v>
      </c>
      <c r="E14" s="157">
        <v>0</v>
      </c>
      <c r="F14" s="150"/>
      <c r="G14" s="150"/>
      <c r="H14" s="151"/>
      <c r="I14" s="157">
        <v>0</v>
      </c>
      <c r="J14" s="150"/>
      <c r="K14" s="150"/>
      <c r="L14" s="151"/>
      <c r="M14" s="157">
        <v>0</v>
      </c>
      <c r="N14" s="150"/>
      <c r="O14" s="150"/>
      <c r="P14" s="150"/>
      <c r="Q14" s="151"/>
      <c r="R14" s="157">
        <v>0</v>
      </c>
      <c r="S14" s="150"/>
      <c r="T14" s="150"/>
      <c r="U14" s="150"/>
      <c r="V14" s="151"/>
      <c r="W14" s="157">
        <v>0</v>
      </c>
      <c r="X14" s="150"/>
      <c r="Y14" s="150"/>
      <c r="Z14" s="151"/>
      <c r="AA14" s="157">
        <v>0</v>
      </c>
      <c r="AB14" s="150"/>
      <c r="AC14" s="150"/>
      <c r="AD14" s="151"/>
      <c r="AE14" s="157">
        <v>0</v>
      </c>
      <c r="AF14" s="150"/>
      <c r="AG14" s="150"/>
      <c r="AH14" s="150"/>
      <c r="AI14" s="151"/>
      <c r="AJ14" s="157">
        <v>0</v>
      </c>
      <c r="AK14" s="150"/>
      <c r="AL14" s="150"/>
      <c r="AM14" s="151"/>
      <c r="AN14" s="88">
        <v>0</v>
      </c>
      <c r="AO14" s="157">
        <v>0</v>
      </c>
      <c r="AP14" s="150"/>
      <c r="AQ14" s="150"/>
      <c r="AR14" s="151"/>
      <c r="AS14" s="157">
        <v>0</v>
      </c>
      <c r="AT14" s="150"/>
      <c r="AU14" s="150"/>
      <c r="AV14" s="150"/>
      <c r="AW14" s="151"/>
      <c r="AX14" s="157">
        <v>0</v>
      </c>
      <c r="AY14" s="150"/>
      <c r="AZ14" s="150"/>
      <c r="BA14" s="151"/>
      <c r="BB14" s="157">
        <v>0</v>
      </c>
      <c r="BC14" s="150"/>
      <c r="BD14" s="150"/>
      <c r="BE14" s="151"/>
      <c r="BF14" s="32"/>
      <c r="BG14" s="38">
        <f t="shared" si="0"/>
        <v>0</v>
      </c>
      <c r="BH14" s="39">
        <f>BG14/BG41</f>
        <v>0</v>
      </c>
      <c r="BJ14" s="33">
        <v>0</v>
      </c>
      <c r="BK14" s="34">
        <f>BJ14/$BJ$40</f>
        <v>0</v>
      </c>
      <c r="BL14" s="35"/>
      <c r="BM14" s="35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Y14" s="37" t="s">
        <v>48</v>
      </c>
      <c r="BZ14" s="157">
        <v>0</v>
      </c>
      <c r="CA14" s="150"/>
      <c r="CB14" s="150"/>
      <c r="CC14" s="151"/>
      <c r="CD14" s="157">
        <v>0</v>
      </c>
      <c r="CE14" s="150"/>
      <c r="CF14" s="150"/>
      <c r="CG14" s="151"/>
      <c r="CH14" s="157">
        <v>0</v>
      </c>
      <c r="CI14" s="150"/>
      <c r="CJ14" s="150"/>
      <c r="CK14" s="150"/>
      <c r="CL14" s="151"/>
      <c r="CM14" s="157">
        <v>0</v>
      </c>
      <c r="CN14" s="150"/>
      <c r="CO14" s="150"/>
      <c r="CP14" s="150"/>
      <c r="CQ14" s="151"/>
      <c r="CR14" s="157">
        <v>0</v>
      </c>
      <c r="CS14" s="150"/>
      <c r="CT14" s="150"/>
      <c r="CU14" s="151"/>
      <c r="CV14" s="157">
        <v>0</v>
      </c>
      <c r="CW14" s="150"/>
      <c r="CX14" s="150"/>
      <c r="CY14" s="151"/>
      <c r="CZ14" s="157">
        <v>0</v>
      </c>
      <c r="DA14" s="150"/>
      <c r="DB14" s="150"/>
      <c r="DC14" s="150"/>
      <c r="DD14" s="151"/>
      <c r="DE14" s="157">
        <v>0</v>
      </c>
      <c r="DF14" s="150"/>
      <c r="DG14" s="150"/>
      <c r="DH14" s="151"/>
      <c r="DI14" s="89">
        <v>0</v>
      </c>
      <c r="DJ14" s="90"/>
      <c r="DK14" s="90"/>
      <c r="DL14" s="90"/>
      <c r="DM14" s="91"/>
      <c r="DN14" s="157"/>
      <c r="DO14" s="150"/>
      <c r="DP14" s="150"/>
      <c r="DQ14" s="150"/>
      <c r="DR14" s="151"/>
      <c r="DS14" s="158">
        <v>0</v>
      </c>
      <c r="DT14" s="159"/>
      <c r="DU14" s="159"/>
      <c r="DV14" s="160"/>
      <c r="DW14" s="158"/>
      <c r="DX14" s="159"/>
      <c r="DY14" s="159"/>
      <c r="DZ14" s="160"/>
      <c r="EA14" s="32"/>
      <c r="EB14" s="38">
        <f t="shared" si="1"/>
        <v>0</v>
      </c>
      <c r="EC14" s="39">
        <f>EB14/EB41</f>
        <v>0</v>
      </c>
      <c r="EE14" s="33">
        <v>0</v>
      </c>
      <c r="EF14" s="34">
        <f>EE14/$BJ$40</f>
        <v>0</v>
      </c>
    </row>
    <row r="15" spans="1:136" ht="32.25" customHeight="1" thickBot="1">
      <c r="A15" s="40"/>
      <c r="B15" s="40"/>
      <c r="C15" s="40"/>
      <c r="D15" s="41" t="s">
        <v>49</v>
      </c>
      <c r="E15" s="163">
        <f>E14+E13+E12+E11</f>
        <v>4431.5</v>
      </c>
      <c r="F15" s="150"/>
      <c r="G15" s="150"/>
      <c r="H15" s="151"/>
      <c r="I15" s="164">
        <f>I14+I13+I12+I11</f>
        <v>0</v>
      </c>
      <c r="J15" s="150"/>
      <c r="K15" s="150"/>
      <c r="L15" s="151"/>
      <c r="M15" s="164">
        <f>M14+M13+M12+M11</f>
        <v>65000</v>
      </c>
      <c r="N15" s="150"/>
      <c r="O15" s="150"/>
      <c r="P15" s="150"/>
      <c r="Q15" s="151"/>
      <c r="R15" s="164">
        <f>R14+R13+R12+R11</f>
        <v>112077.84</v>
      </c>
      <c r="S15" s="150"/>
      <c r="T15" s="150"/>
      <c r="U15" s="150"/>
      <c r="V15" s="151"/>
      <c r="W15" s="164">
        <f>W14+W13+W12+W11</f>
        <v>295000</v>
      </c>
      <c r="X15" s="150"/>
      <c r="Y15" s="150"/>
      <c r="Z15" s="151"/>
      <c r="AA15" s="164">
        <f>AA14+AA13+AA12+AA11</f>
        <v>424831.51</v>
      </c>
      <c r="AB15" s="150"/>
      <c r="AC15" s="150"/>
      <c r="AD15" s="151"/>
      <c r="AE15" s="164">
        <f>AE14+AE13+AE12+AE11</f>
        <v>377984.92000000004</v>
      </c>
      <c r="AF15" s="150"/>
      <c r="AG15" s="150"/>
      <c r="AH15" s="150"/>
      <c r="AI15" s="151"/>
      <c r="AJ15" s="164">
        <f>AJ14+AJ13+AJ12+AJ11</f>
        <v>135501.51999999999</v>
      </c>
      <c r="AK15" s="150"/>
      <c r="AL15" s="150"/>
      <c r="AM15" s="151"/>
      <c r="AN15" s="42">
        <f>AN14+AN13+AN12+AN11</f>
        <v>90000</v>
      </c>
      <c r="AO15" s="164">
        <f>AO14+AO13+AO12+AO11</f>
        <v>196914.01</v>
      </c>
      <c r="AP15" s="150"/>
      <c r="AQ15" s="150"/>
      <c r="AR15" s="151"/>
      <c r="AS15" s="164">
        <f>AS14+AS13+AS12+AS11</f>
        <v>67904.639999999999</v>
      </c>
      <c r="AT15" s="150"/>
      <c r="AU15" s="150"/>
      <c r="AV15" s="150"/>
      <c r="AW15" s="151"/>
      <c r="AX15" s="164">
        <f>AX14+AX13+AX12+AX11</f>
        <v>140000</v>
      </c>
      <c r="AY15" s="150"/>
      <c r="AZ15" s="150"/>
      <c r="BA15" s="151"/>
      <c r="BB15" s="164">
        <f>BB14+BB13+BB12+BB11</f>
        <v>61131.1</v>
      </c>
      <c r="BC15" s="150"/>
      <c r="BD15" s="150"/>
      <c r="BE15" s="151"/>
      <c r="BF15" s="32"/>
      <c r="BG15" s="33">
        <f t="shared" si="0"/>
        <v>1970777.04</v>
      </c>
      <c r="BH15" s="34">
        <f>BG15/BG40</f>
        <v>0.61703187105053359</v>
      </c>
      <c r="BJ15" s="33">
        <f>BJ11+BJ12+BJ13</f>
        <v>2230226.139</v>
      </c>
      <c r="BK15" s="34">
        <f>BJ15/$BJ$40</f>
        <v>0.64576237714979856</v>
      </c>
      <c r="BL15" s="35"/>
      <c r="BM15" s="35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Y15" s="41" t="s">
        <v>49</v>
      </c>
      <c r="BZ15" s="163">
        <f>BZ14+BZ13+BZ12+BZ11</f>
        <v>4411.5</v>
      </c>
      <c r="CA15" s="150"/>
      <c r="CB15" s="150"/>
      <c r="CC15" s="151"/>
      <c r="CD15" s="164">
        <f>CD14+CD13+CD12+CD11</f>
        <v>0</v>
      </c>
      <c r="CE15" s="150"/>
      <c r="CF15" s="150"/>
      <c r="CG15" s="151"/>
      <c r="CH15" s="164">
        <f>CH14+CH13+CH12+CH11</f>
        <v>68408.03</v>
      </c>
      <c r="CI15" s="150"/>
      <c r="CJ15" s="150"/>
      <c r="CK15" s="150"/>
      <c r="CL15" s="151"/>
      <c r="CM15" s="164">
        <f>CM14+CM13+CM12+CM11</f>
        <v>91856.47</v>
      </c>
      <c r="CN15" s="150"/>
      <c r="CO15" s="150"/>
      <c r="CP15" s="150"/>
      <c r="CQ15" s="151"/>
      <c r="CR15" s="164">
        <f>CR14+CR13+CR12+CR11</f>
        <v>351928.95</v>
      </c>
      <c r="CS15" s="150"/>
      <c r="CT15" s="150"/>
      <c r="CU15" s="151"/>
      <c r="CV15" s="164">
        <f>CV14+CV13+CV12+CV11</f>
        <v>413943.24</v>
      </c>
      <c r="CW15" s="150"/>
      <c r="CX15" s="150"/>
      <c r="CY15" s="151"/>
      <c r="CZ15" s="164">
        <f>CZ11+CZ12+CZ13+CZ14</f>
        <v>355070.68000000005</v>
      </c>
      <c r="DA15" s="150"/>
      <c r="DB15" s="150"/>
      <c r="DC15" s="150"/>
      <c r="DD15" s="151"/>
      <c r="DE15" s="164">
        <f>DE14+DE13+DE12+DE11</f>
        <v>177787.57</v>
      </c>
      <c r="DF15" s="150"/>
      <c r="DG15" s="150"/>
      <c r="DH15" s="151"/>
      <c r="DI15" s="133">
        <f>DI11+DI12+DI13+DI14</f>
        <v>305410.69999999995</v>
      </c>
      <c r="DJ15" s="134"/>
      <c r="DK15" s="134"/>
      <c r="DL15" s="134"/>
      <c r="DM15" s="135"/>
      <c r="DN15" s="133">
        <f>DN11+DN12+DN13</f>
        <v>86855.07</v>
      </c>
      <c r="DO15" s="134"/>
      <c r="DP15" s="134"/>
      <c r="DQ15" s="134"/>
      <c r="DR15" s="135"/>
      <c r="DS15" s="165">
        <f>DS11+DS12</f>
        <v>150127.34000000003</v>
      </c>
      <c r="DT15" s="159"/>
      <c r="DU15" s="159"/>
      <c r="DV15" s="160"/>
      <c r="DW15" s="165">
        <f>DW11+DW13+DW14+DW12</f>
        <v>60982.54</v>
      </c>
      <c r="DX15" s="159"/>
      <c r="DY15" s="159"/>
      <c r="DZ15" s="160"/>
      <c r="EA15" s="32"/>
      <c r="EB15" s="33">
        <f t="shared" si="1"/>
        <v>2066782.0900000003</v>
      </c>
      <c r="EC15" s="34">
        <f>EB15/EB40</f>
        <v>0.62872220352554153</v>
      </c>
      <c r="EE15" s="33">
        <f>EE11+EE12+EE13</f>
        <v>96005.050000000134</v>
      </c>
      <c r="EF15" s="34">
        <f>EE15/$BJ$40</f>
        <v>2.7798279386225665E-2</v>
      </c>
    </row>
    <row r="16" spans="1:136" ht="15.75" customHeight="1" thickBot="1">
      <c r="A16" s="43"/>
      <c r="B16" s="43"/>
      <c r="C16" s="43"/>
      <c r="D16" s="43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44">
        <f>BG15</f>
        <v>1970777.04</v>
      </c>
      <c r="BH16" s="45">
        <f>BG16/BG44</f>
        <v>0.53279175165174397</v>
      </c>
      <c r="BI16" s="32"/>
      <c r="BJ16" s="32"/>
      <c r="BK16" s="32"/>
      <c r="BL16" s="32"/>
      <c r="BM16" s="3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Y16" s="43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80"/>
      <c r="DT16" s="80"/>
      <c r="DU16" s="80"/>
      <c r="DV16" s="80"/>
      <c r="DW16" s="80"/>
      <c r="DX16" s="80"/>
      <c r="DY16" s="80"/>
      <c r="DZ16" s="80"/>
      <c r="EA16" s="32"/>
      <c r="EB16" s="44">
        <f>EB15</f>
        <v>2066782.0900000003</v>
      </c>
      <c r="EC16" s="45">
        <f>EB16/EB44</f>
        <v>0.54499810522652403</v>
      </c>
      <c r="ED16" s="32"/>
      <c r="EE16" s="32"/>
      <c r="EF16" s="32"/>
    </row>
    <row r="17" spans="1:136" ht="18">
      <c r="A17" s="46"/>
      <c r="B17" s="46"/>
      <c r="C17" s="46"/>
      <c r="D17" s="104" t="s">
        <v>50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5"/>
      <c r="BF17" s="16"/>
      <c r="BG17" s="16"/>
      <c r="BH17" s="16"/>
      <c r="BI17" s="16"/>
      <c r="BJ17" s="16"/>
      <c r="BK17" s="16"/>
      <c r="BL17" s="16"/>
      <c r="BM17" s="16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Y17" s="104" t="s">
        <v>50</v>
      </c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81"/>
      <c r="DT17" s="81"/>
      <c r="DU17" s="81"/>
      <c r="DV17" s="81"/>
      <c r="DW17" s="81"/>
      <c r="DX17" s="81"/>
      <c r="DY17" s="81"/>
      <c r="DZ17" s="82"/>
      <c r="EA17" s="16"/>
      <c r="EB17" s="16"/>
      <c r="EC17" s="16"/>
      <c r="ED17" s="16"/>
      <c r="EE17" s="16"/>
      <c r="EF17" s="16"/>
    </row>
    <row r="18" spans="1:136" ht="18.95" thickBot="1">
      <c r="A18" s="46"/>
      <c r="B18" s="46"/>
      <c r="C18" s="46"/>
      <c r="D18" s="156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9"/>
      <c r="BF18" s="16"/>
      <c r="BG18" s="16"/>
      <c r="BH18" s="16"/>
      <c r="BI18" s="16"/>
      <c r="BJ18" s="16"/>
      <c r="BK18" s="16"/>
      <c r="BL18" s="16"/>
      <c r="BM18" s="16"/>
      <c r="BN18" s="142"/>
      <c r="BO18" s="142"/>
      <c r="BP18" s="142"/>
      <c r="BQ18" s="142"/>
      <c r="BR18" s="142"/>
      <c r="BS18" s="142"/>
      <c r="BT18" s="142"/>
      <c r="BU18" s="142"/>
      <c r="BV18" s="142"/>
      <c r="BW18" s="142"/>
      <c r="BY18" s="156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83"/>
      <c r="DT18" s="83"/>
      <c r="DU18" s="83"/>
      <c r="DV18" s="83"/>
      <c r="DW18" s="83"/>
      <c r="DX18" s="83"/>
      <c r="DY18" s="83"/>
      <c r="DZ18" s="84"/>
      <c r="EA18" s="16"/>
      <c r="EB18" s="16"/>
      <c r="EC18" s="16"/>
      <c r="ED18" s="16"/>
      <c r="EE18" s="16"/>
      <c r="EF18" s="16"/>
    </row>
    <row r="19" spans="1:136" ht="15" thickBot="1">
      <c r="A19" s="47"/>
      <c r="B19" s="47"/>
      <c r="C19" s="47"/>
      <c r="D19" s="31" t="s">
        <v>51</v>
      </c>
      <c r="E19" s="157">
        <v>15950</v>
      </c>
      <c r="F19" s="150"/>
      <c r="G19" s="150"/>
      <c r="H19" s="151"/>
      <c r="I19" s="157">
        <v>7350</v>
      </c>
      <c r="J19" s="150"/>
      <c r="K19" s="150"/>
      <c r="L19" s="151"/>
      <c r="M19" s="157">
        <v>9150</v>
      </c>
      <c r="N19" s="150"/>
      <c r="O19" s="150"/>
      <c r="P19" s="150"/>
      <c r="Q19" s="151"/>
      <c r="R19" s="157">
        <v>16000</v>
      </c>
      <c r="S19" s="150"/>
      <c r="T19" s="150"/>
      <c r="U19" s="150"/>
      <c r="V19" s="151"/>
      <c r="W19" s="157">
        <v>0</v>
      </c>
      <c r="X19" s="150"/>
      <c r="Y19" s="150"/>
      <c r="Z19" s="151"/>
      <c r="AA19" s="157">
        <v>40000</v>
      </c>
      <c r="AB19" s="150"/>
      <c r="AC19" s="150"/>
      <c r="AD19" s="151"/>
      <c r="AE19" s="157">
        <v>40000</v>
      </c>
      <c r="AF19" s="150"/>
      <c r="AG19" s="150"/>
      <c r="AH19" s="150"/>
      <c r="AI19" s="151"/>
      <c r="AJ19" s="157">
        <v>0</v>
      </c>
      <c r="AK19" s="150"/>
      <c r="AL19" s="150"/>
      <c r="AM19" s="151"/>
      <c r="AN19" s="88">
        <v>0</v>
      </c>
      <c r="AO19" s="157">
        <v>40000</v>
      </c>
      <c r="AP19" s="150"/>
      <c r="AQ19" s="150"/>
      <c r="AR19" s="151"/>
      <c r="AS19" s="157">
        <v>0</v>
      </c>
      <c r="AT19" s="150"/>
      <c r="AU19" s="150"/>
      <c r="AV19" s="150"/>
      <c r="AW19" s="151"/>
      <c r="AX19" s="157">
        <v>0</v>
      </c>
      <c r="AY19" s="150"/>
      <c r="AZ19" s="150"/>
      <c r="BA19" s="151"/>
      <c r="BB19" s="157">
        <v>0</v>
      </c>
      <c r="BC19" s="150"/>
      <c r="BD19" s="150"/>
      <c r="BE19" s="151"/>
      <c r="BF19" s="32"/>
      <c r="BG19" s="33">
        <f t="shared" ref="BG19:BG32" si="2">SUM(E19:BE19)</f>
        <v>168450</v>
      </c>
      <c r="BH19" s="48">
        <f>BG19/BG40</f>
        <v>5.2740120555931774E-2</v>
      </c>
      <c r="BJ19" s="33">
        <v>150261.20000000001</v>
      </c>
      <c r="BK19" s="34">
        <f>BJ19/BJ40</f>
        <v>4.3508157315782101E-2</v>
      </c>
      <c r="BL19" s="35"/>
      <c r="BM19" s="35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Y19" s="31" t="s">
        <v>51</v>
      </c>
      <c r="BZ19" s="157">
        <v>15950</v>
      </c>
      <c r="CA19" s="150"/>
      <c r="CB19" s="150"/>
      <c r="CC19" s="151"/>
      <c r="CD19" s="157">
        <v>12350</v>
      </c>
      <c r="CE19" s="150"/>
      <c r="CF19" s="150"/>
      <c r="CG19" s="151"/>
      <c r="CH19" s="157">
        <v>12350</v>
      </c>
      <c r="CI19" s="150"/>
      <c r="CJ19" s="150"/>
      <c r="CK19" s="150"/>
      <c r="CL19" s="151"/>
      <c r="CM19" s="157">
        <v>16000</v>
      </c>
      <c r="CN19" s="150"/>
      <c r="CO19" s="150"/>
      <c r="CP19" s="150"/>
      <c r="CQ19" s="151"/>
      <c r="CR19" s="157">
        <v>0</v>
      </c>
      <c r="CS19" s="150"/>
      <c r="CT19" s="150"/>
      <c r="CU19" s="151"/>
      <c r="CV19" s="157">
        <v>38270.57</v>
      </c>
      <c r="CW19" s="150"/>
      <c r="CX19" s="150"/>
      <c r="CY19" s="151"/>
      <c r="CZ19" s="157">
        <v>30000</v>
      </c>
      <c r="DA19" s="150"/>
      <c r="DB19" s="150"/>
      <c r="DC19" s="150"/>
      <c r="DD19" s="151"/>
      <c r="DE19" s="157">
        <v>0</v>
      </c>
      <c r="DF19" s="150"/>
      <c r="DG19" s="150"/>
      <c r="DH19" s="151"/>
      <c r="DI19" s="89">
        <v>48118.31</v>
      </c>
      <c r="DJ19" s="90"/>
      <c r="DK19" s="90"/>
      <c r="DL19" s="90"/>
      <c r="DM19" s="91"/>
      <c r="DN19" s="157">
        <v>1881.69</v>
      </c>
      <c r="DO19" s="150"/>
      <c r="DP19" s="150"/>
      <c r="DQ19" s="150"/>
      <c r="DR19" s="151"/>
      <c r="DS19" s="158">
        <v>0</v>
      </c>
      <c r="DT19" s="159"/>
      <c r="DU19" s="159"/>
      <c r="DV19" s="160"/>
      <c r="DW19" s="158"/>
      <c r="DX19" s="159"/>
      <c r="DY19" s="159"/>
      <c r="DZ19" s="160"/>
      <c r="EA19" s="32"/>
      <c r="EB19" s="33">
        <f t="shared" ref="EB19:EB31" si="3">SUM(BZ19:DZ19)</f>
        <v>174920.57</v>
      </c>
      <c r="EC19" s="48">
        <f>EB19/EB40</f>
        <v>5.3211437598795777E-2</v>
      </c>
      <c r="EE19" s="33">
        <f>EB19-BG19</f>
        <v>6470.570000000007</v>
      </c>
      <c r="EF19" s="34">
        <f>EE19/EE40</f>
        <v>8.2626810766027348E-2</v>
      </c>
    </row>
    <row r="20" spans="1:136" ht="15" thickBot="1">
      <c r="A20" s="49"/>
      <c r="B20" s="49"/>
      <c r="C20" s="49"/>
      <c r="D20" s="31" t="s">
        <v>52</v>
      </c>
      <c r="E20" s="157">
        <v>0</v>
      </c>
      <c r="F20" s="150"/>
      <c r="G20" s="150"/>
      <c r="H20" s="151"/>
      <c r="I20" s="157">
        <v>0</v>
      </c>
      <c r="J20" s="150"/>
      <c r="K20" s="150"/>
      <c r="L20" s="151"/>
      <c r="M20" s="157">
        <v>0</v>
      </c>
      <c r="N20" s="150"/>
      <c r="O20" s="150"/>
      <c r="P20" s="150"/>
      <c r="Q20" s="151"/>
      <c r="R20" s="157">
        <v>8500</v>
      </c>
      <c r="S20" s="150"/>
      <c r="T20" s="150"/>
      <c r="U20" s="150"/>
      <c r="V20" s="151"/>
      <c r="W20" s="157">
        <v>0</v>
      </c>
      <c r="X20" s="150"/>
      <c r="Y20" s="150"/>
      <c r="Z20" s="151"/>
      <c r="AA20" s="157">
        <v>8500</v>
      </c>
      <c r="AB20" s="150"/>
      <c r="AC20" s="150"/>
      <c r="AD20" s="151"/>
      <c r="AE20" s="157">
        <v>8500</v>
      </c>
      <c r="AF20" s="150"/>
      <c r="AG20" s="150"/>
      <c r="AH20" s="150"/>
      <c r="AI20" s="151"/>
      <c r="AJ20" s="157">
        <v>8500</v>
      </c>
      <c r="AK20" s="150"/>
      <c r="AL20" s="150"/>
      <c r="AM20" s="151"/>
      <c r="AN20" s="88">
        <v>0</v>
      </c>
      <c r="AO20" s="157">
        <v>0</v>
      </c>
      <c r="AP20" s="150"/>
      <c r="AQ20" s="150"/>
      <c r="AR20" s="151"/>
      <c r="AS20" s="157">
        <v>8500</v>
      </c>
      <c r="AT20" s="150"/>
      <c r="AU20" s="150"/>
      <c r="AV20" s="150"/>
      <c r="AW20" s="151"/>
      <c r="AX20" s="157">
        <v>0</v>
      </c>
      <c r="AY20" s="150"/>
      <c r="AZ20" s="150"/>
      <c r="BA20" s="151"/>
      <c r="BB20" s="157">
        <v>8500</v>
      </c>
      <c r="BC20" s="150"/>
      <c r="BD20" s="150"/>
      <c r="BE20" s="151"/>
      <c r="BF20" s="32"/>
      <c r="BG20" s="33">
        <f t="shared" si="2"/>
        <v>51000</v>
      </c>
      <c r="BH20" s="48">
        <f>BG20/BG40</f>
        <v>1.5967623320584864E-2</v>
      </c>
      <c r="BJ20" s="33">
        <v>0</v>
      </c>
      <c r="BK20" s="34"/>
      <c r="BL20" s="35"/>
      <c r="BM20" s="35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Y20" s="31" t="s">
        <v>52</v>
      </c>
      <c r="BZ20" s="157">
        <v>0</v>
      </c>
      <c r="CA20" s="150"/>
      <c r="CB20" s="150"/>
      <c r="CC20" s="151"/>
      <c r="CD20" s="157">
        <v>0</v>
      </c>
      <c r="CE20" s="150"/>
      <c r="CF20" s="150"/>
      <c r="CG20" s="151"/>
      <c r="CH20" s="157">
        <v>0</v>
      </c>
      <c r="CI20" s="150"/>
      <c r="CJ20" s="150"/>
      <c r="CK20" s="150"/>
      <c r="CL20" s="151"/>
      <c r="CM20" s="157">
        <v>8499.98</v>
      </c>
      <c r="CN20" s="150"/>
      <c r="CO20" s="150"/>
      <c r="CP20" s="150"/>
      <c r="CQ20" s="151"/>
      <c r="CR20" s="157">
        <v>0</v>
      </c>
      <c r="CS20" s="150"/>
      <c r="CT20" s="150"/>
      <c r="CU20" s="151"/>
      <c r="CV20" s="157">
        <v>9860</v>
      </c>
      <c r="CW20" s="150"/>
      <c r="CX20" s="150"/>
      <c r="CY20" s="151"/>
      <c r="CZ20" s="157">
        <v>8840</v>
      </c>
      <c r="DA20" s="150"/>
      <c r="DB20" s="150"/>
      <c r="DC20" s="150"/>
      <c r="DD20" s="151"/>
      <c r="DE20" s="157">
        <v>9350</v>
      </c>
      <c r="DF20" s="150"/>
      <c r="DG20" s="150"/>
      <c r="DH20" s="151"/>
      <c r="DI20" s="89">
        <v>0</v>
      </c>
      <c r="DJ20" s="90"/>
      <c r="DK20" s="90"/>
      <c r="DL20" s="90"/>
      <c r="DM20" s="91"/>
      <c r="DN20" s="157">
        <v>6799.99</v>
      </c>
      <c r="DO20" s="150"/>
      <c r="DP20" s="150"/>
      <c r="DQ20" s="150"/>
      <c r="DR20" s="151"/>
      <c r="DS20" s="158">
        <v>0</v>
      </c>
      <c r="DT20" s="159"/>
      <c r="DU20" s="159"/>
      <c r="DV20" s="160"/>
      <c r="DW20" s="158">
        <v>7650</v>
      </c>
      <c r="DX20" s="159"/>
      <c r="DY20" s="159"/>
      <c r="DZ20" s="160"/>
      <c r="EA20" s="32"/>
      <c r="EB20" s="33">
        <f t="shared" si="3"/>
        <v>50999.969999999994</v>
      </c>
      <c r="EC20" s="48">
        <f>EB20/EB40</f>
        <v>1.5514365870151557E-2</v>
      </c>
      <c r="EE20" s="33">
        <f t="shared" ref="EE20:EE25" si="4">EB20-BG20</f>
        <v>-3.0000000006111804E-2</v>
      </c>
      <c r="EF20" s="34"/>
    </row>
    <row r="21" spans="1:136" ht="15" thickBot="1">
      <c r="A21" s="49"/>
      <c r="B21" s="49"/>
      <c r="C21" s="49"/>
      <c r="D21" s="31" t="s">
        <v>53</v>
      </c>
      <c r="E21" s="157">
        <v>0</v>
      </c>
      <c r="F21" s="150"/>
      <c r="G21" s="150"/>
      <c r="H21" s="151"/>
      <c r="I21" s="157">
        <v>0</v>
      </c>
      <c r="J21" s="150"/>
      <c r="K21" s="150"/>
      <c r="L21" s="151"/>
      <c r="M21" s="157">
        <v>0</v>
      </c>
      <c r="N21" s="150"/>
      <c r="O21" s="150"/>
      <c r="P21" s="150"/>
      <c r="Q21" s="151"/>
      <c r="R21" s="157">
        <v>0</v>
      </c>
      <c r="S21" s="150"/>
      <c r="T21" s="150"/>
      <c r="U21" s="150"/>
      <c r="V21" s="151"/>
      <c r="W21" s="157">
        <v>0</v>
      </c>
      <c r="X21" s="150"/>
      <c r="Y21" s="150"/>
      <c r="Z21" s="151"/>
      <c r="AA21" s="157">
        <v>0</v>
      </c>
      <c r="AB21" s="150"/>
      <c r="AC21" s="150"/>
      <c r="AD21" s="151"/>
      <c r="AE21" s="157">
        <v>0</v>
      </c>
      <c r="AF21" s="150"/>
      <c r="AG21" s="150"/>
      <c r="AH21" s="150"/>
      <c r="AI21" s="151"/>
      <c r="AJ21" s="157">
        <v>0</v>
      </c>
      <c r="AK21" s="150"/>
      <c r="AL21" s="150"/>
      <c r="AM21" s="151"/>
      <c r="AN21" s="88">
        <v>0</v>
      </c>
      <c r="AO21" s="157">
        <v>0</v>
      </c>
      <c r="AP21" s="150"/>
      <c r="AQ21" s="150"/>
      <c r="AR21" s="151"/>
      <c r="AS21" s="157">
        <v>0</v>
      </c>
      <c r="AT21" s="150"/>
      <c r="AU21" s="150"/>
      <c r="AV21" s="150"/>
      <c r="AW21" s="151"/>
      <c r="AX21" s="157">
        <v>0</v>
      </c>
      <c r="AY21" s="150"/>
      <c r="AZ21" s="150"/>
      <c r="BA21" s="151"/>
      <c r="BB21" s="157">
        <v>0</v>
      </c>
      <c r="BC21" s="150"/>
      <c r="BD21" s="150"/>
      <c r="BE21" s="151"/>
      <c r="BF21" s="32"/>
      <c r="BG21" s="33">
        <f t="shared" si="2"/>
        <v>0</v>
      </c>
      <c r="BH21" s="48">
        <f>BG21/BG40</f>
        <v>0</v>
      </c>
      <c r="BJ21" s="33">
        <v>0</v>
      </c>
      <c r="BK21" s="34"/>
      <c r="BL21" s="35"/>
      <c r="BM21" s="35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Y21" s="31" t="s">
        <v>53</v>
      </c>
      <c r="BZ21" s="157">
        <v>0</v>
      </c>
      <c r="CA21" s="150"/>
      <c r="CB21" s="150"/>
      <c r="CC21" s="151"/>
      <c r="CD21" s="157">
        <v>0</v>
      </c>
      <c r="CE21" s="150"/>
      <c r="CF21" s="150"/>
      <c r="CG21" s="151"/>
      <c r="CH21" s="157">
        <v>0</v>
      </c>
      <c r="CI21" s="150"/>
      <c r="CJ21" s="150"/>
      <c r="CK21" s="150"/>
      <c r="CL21" s="151"/>
      <c r="CM21" s="157">
        <v>0</v>
      </c>
      <c r="CN21" s="150"/>
      <c r="CO21" s="150"/>
      <c r="CP21" s="150"/>
      <c r="CQ21" s="151"/>
      <c r="CR21" s="157">
        <v>0</v>
      </c>
      <c r="CS21" s="150"/>
      <c r="CT21" s="150"/>
      <c r="CU21" s="151"/>
      <c r="CV21" s="157">
        <v>0</v>
      </c>
      <c r="CW21" s="150"/>
      <c r="CX21" s="150"/>
      <c r="CY21" s="151"/>
      <c r="CZ21" s="157">
        <v>0</v>
      </c>
      <c r="DA21" s="150"/>
      <c r="DB21" s="150"/>
      <c r="DC21" s="150"/>
      <c r="DD21" s="151"/>
      <c r="DE21" s="157">
        <v>0</v>
      </c>
      <c r="DF21" s="150"/>
      <c r="DG21" s="150"/>
      <c r="DH21" s="151"/>
      <c r="DI21" s="89">
        <v>0</v>
      </c>
      <c r="DJ21" s="90"/>
      <c r="DK21" s="90"/>
      <c r="DL21" s="90"/>
      <c r="DM21" s="91"/>
      <c r="DN21" s="157"/>
      <c r="DO21" s="150"/>
      <c r="DP21" s="150"/>
      <c r="DQ21" s="150"/>
      <c r="DR21" s="151"/>
      <c r="DS21" s="158">
        <v>0</v>
      </c>
      <c r="DT21" s="159"/>
      <c r="DU21" s="159"/>
      <c r="DV21" s="160"/>
      <c r="DW21" s="158"/>
      <c r="DX21" s="159"/>
      <c r="DY21" s="159"/>
      <c r="DZ21" s="160"/>
      <c r="EA21" s="32"/>
      <c r="EB21" s="33">
        <f t="shared" si="3"/>
        <v>0</v>
      </c>
      <c r="EC21" s="48">
        <f>EB21/EB40</f>
        <v>0</v>
      </c>
      <c r="EE21" s="33">
        <f t="shared" si="4"/>
        <v>0</v>
      </c>
      <c r="EF21" s="34"/>
    </row>
    <row r="22" spans="1:136" ht="15" thickBot="1">
      <c r="A22" s="49"/>
      <c r="B22" s="49"/>
      <c r="C22" s="49"/>
      <c r="D22" s="31" t="s">
        <v>54</v>
      </c>
      <c r="E22" s="157">
        <v>0</v>
      </c>
      <c r="F22" s="150"/>
      <c r="G22" s="150"/>
      <c r="H22" s="151"/>
      <c r="I22" s="157">
        <v>0</v>
      </c>
      <c r="J22" s="150"/>
      <c r="K22" s="150"/>
      <c r="L22" s="151"/>
      <c r="M22" s="157">
        <v>0</v>
      </c>
      <c r="N22" s="150"/>
      <c r="O22" s="150"/>
      <c r="P22" s="150"/>
      <c r="Q22" s="151"/>
      <c r="R22" s="157">
        <v>0</v>
      </c>
      <c r="S22" s="150"/>
      <c r="T22" s="150"/>
      <c r="U22" s="150"/>
      <c r="V22" s="151"/>
      <c r="W22" s="157">
        <v>0</v>
      </c>
      <c r="X22" s="150"/>
      <c r="Y22" s="150"/>
      <c r="Z22" s="151"/>
      <c r="AA22" s="157">
        <v>23000</v>
      </c>
      <c r="AB22" s="150"/>
      <c r="AC22" s="150"/>
      <c r="AD22" s="151"/>
      <c r="AE22" s="157">
        <v>0</v>
      </c>
      <c r="AF22" s="150"/>
      <c r="AG22" s="150"/>
      <c r="AH22" s="150"/>
      <c r="AI22" s="151"/>
      <c r="AJ22" s="157">
        <v>0</v>
      </c>
      <c r="AK22" s="150"/>
      <c r="AL22" s="150"/>
      <c r="AM22" s="151"/>
      <c r="AN22" s="88">
        <v>0</v>
      </c>
      <c r="AO22" s="157">
        <v>0</v>
      </c>
      <c r="AP22" s="150"/>
      <c r="AQ22" s="150"/>
      <c r="AR22" s="151"/>
      <c r="AS22" s="157">
        <v>0</v>
      </c>
      <c r="AT22" s="150"/>
      <c r="AU22" s="150"/>
      <c r="AV22" s="150"/>
      <c r="AW22" s="151"/>
      <c r="AX22" s="157">
        <v>0</v>
      </c>
      <c r="AY22" s="150"/>
      <c r="AZ22" s="150"/>
      <c r="BA22" s="151"/>
      <c r="BB22" s="157">
        <v>0</v>
      </c>
      <c r="BC22" s="150"/>
      <c r="BD22" s="150"/>
      <c r="BE22" s="151"/>
      <c r="BF22" s="32"/>
      <c r="BG22" s="33">
        <f t="shared" si="2"/>
        <v>23000</v>
      </c>
      <c r="BH22" s="48">
        <f>BG22/BG40</f>
        <v>7.2010850269304295E-3</v>
      </c>
      <c r="BJ22" s="33">
        <v>0</v>
      </c>
      <c r="BK22" s="34"/>
      <c r="BL22" s="35"/>
      <c r="BM22" s="35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Y22" s="31" t="s">
        <v>54</v>
      </c>
      <c r="BZ22" s="157">
        <v>0</v>
      </c>
      <c r="CA22" s="150"/>
      <c r="CB22" s="150"/>
      <c r="CC22" s="151"/>
      <c r="CD22" s="157">
        <v>0</v>
      </c>
      <c r="CE22" s="150"/>
      <c r="CF22" s="150"/>
      <c r="CG22" s="151"/>
      <c r="CH22" s="157">
        <v>0</v>
      </c>
      <c r="CI22" s="150"/>
      <c r="CJ22" s="150"/>
      <c r="CK22" s="150"/>
      <c r="CL22" s="151"/>
      <c r="CM22" s="157">
        <v>0</v>
      </c>
      <c r="CN22" s="150"/>
      <c r="CO22" s="150"/>
      <c r="CP22" s="150"/>
      <c r="CQ22" s="151"/>
      <c r="CR22" s="157">
        <v>0</v>
      </c>
      <c r="CS22" s="150"/>
      <c r="CT22" s="150"/>
      <c r="CU22" s="151"/>
      <c r="CV22" s="157">
        <v>23000</v>
      </c>
      <c r="CW22" s="150"/>
      <c r="CX22" s="150"/>
      <c r="CY22" s="151"/>
      <c r="CZ22" s="157">
        <v>10500</v>
      </c>
      <c r="DA22" s="150"/>
      <c r="DB22" s="150"/>
      <c r="DC22" s="150"/>
      <c r="DD22" s="151"/>
      <c r="DE22" s="157">
        <v>0</v>
      </c>
      <c r="DF22" s="150"/>
      <c r="DG22" s="150"/>
      <c r="DH22" s="151"/>
      <c r="DI22" s="89">
        <v>0</v>
      </c>
      <c r="DJ22" s="90"/>
      <c r="DK22" s="90"/>
      <c r="DL22" s="90"/>
      <c r="DM22" s="91"/>
      <c r="DN22" s="157"/>
      <c r="DO22" s="150"/>
      <c r="DP22" s="150"/>
      <c r="DQ22" s="150"/>
      <c r="DR22" s="151"/>
      <c r="DS22" s="158">
        <v>0</v>
      </c>
      <c r="DT22" s="159"/>
      <c r="DU22" s="159"/>
      <c r="DV22" s="160"/>
      <c r="DW22" s="158"/>
      <c r="DX22" s="159"/>
      <c r="DY22" s="159"/>
      <c r="DZ22" s="160"/>
      <c r="EA22" s="32"/>
      <c r="EB22" s="33">
        <f t="shared" si="3"/>
        <v>33500</v>
      </c>
      <c r="EC22" s="48">
        <f>EB22/EB40</f>
        <v>1.0190814948520111E-2</v>
      </c>
      <c r="EE22" s="33">
        <f t="shared" si="4"/>
        <v>10500</v>
      </c>
      <c r="EF22" s="34"/>
    </row>
    <row r="23" spans="1:136" ht="15" thickBot="1">
      <c r="A23" s="49"/>
      <c r="B23" s="49"/>
      <c r="C23" s="49"/>
      <c r="D23" s="31" t="s">
        <v>55</v>
      </c>
      <c r="E23" s="157">
        <v>0</v>
      </c>
      <c r="F23" s="150"/>
      <c r="G23" s="150"/>
      <c r="H23" s="151"/>
      <c r="I23" s="157">
        <v>0</v>
      </c>
      <c r="J23" s="150"/>
      <c r="K23" s="150"/>
      <c r="L23" s="151"/>
      <c r="M23" s="157">
        <v>0</v>
      </c>
      <c r="N23" s="150"/>
      <c r="O23" s="150"/>
      <c r="P23" s="150"/>
      <c r="Q23" s="151"/>
      <c r="R23" s="157">
        <v>0</v>
      </c>
      <c r="S23" s="150"/>
      <c r="T23" s="150"/>
      <c r="U23" s="150"/>
      <c r="V23" s="151"/>
      <c r="W23" s="157">
        <f>16896</f>
        <v>16896</v>
      </c>
      <c r="X23" s="150"/>
      <c r="Y23" s="150"/>
      <c r="Z23" s="151"/>
      <c r="AA23" s="157">
        <f>18432+7800</f>
        <v>26232</v>
      </c>
      <c r="AB23" s="150"/>
      <c r="AC23" s="150"/>
      <c r="AD23" s="151"/>
      <c r="AE23" s="157">
        <f>(18624/2)+8250+7800</f>
        <v>25362</v>
      </c>
      <c r="AF23" s="150"/>
      <c r="AG23" s="150"/>
      <c r="AH23" s="150"/>
      <c r="AI23" s="151"/>
      <c r="AJ23" s="157">
        <f>9312+7800</f>
        <v>17112</v>
      </c>
      <c r="AK23" s="150"/>
      <c r="AL23" s="150"/>
      <c r="AM23" s="151"/>
      <c r="AN23" s="88">
        <v>7800</v>
      </c>
      <c r="AO23" s="157">
        <v>0</v>
      </c>
      <c r="AP23" s="150"/>
      <c r="AQ23" s="150"/>
      <c r="AR23" s="151"/>
      <c r="AS23" s="157">
        <v>0</v>
      </c>
      <c r="AT23" s="150"/>
      <c r="AU23" s="150"/>
      <c r="AV23" s="150"/>
      <c r="AW23" s="151"/>
      <c r="AX23" s="157">
        <v>8250</v>
      </c>
      <c r="AY23" s="150"/>
      <c r="AZ23" s="150"/>
      <c r="BA23" s="151"/>
      <c r="BB23" s="157">
        <v>0</v>
      </c>
      <c r="BC23" s="150"/>
      <c r="BD23" s="150"/>
      <c r="BE23" s="151"/>
      <c r="BF23" s="32"/>
      <c r="BG23" s="33">
        <f t="shared" si="2"/>
        <v>101652</v>
      </c>
      <c r="BH23" s="48">
        <f>BG23/BG40</f>
        <v>3.1826291093805741E-2</v>
      </c>
      <c r="BJ23" s="33">
        <v>0</v>
      </c>
      <c r="BK23" s="34">
        <f>BJ23/BJ40</f>
        <v>0</v>
      </c>
      <c r="BL23" s="35"/>
      <c r="BM23" s="35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Y23" s="31" t="s">
        <v>55</v>
      </c>
      <c r="BZ23" s="157">
        <v>0</v>
      </c>
      <c r="CA23" s="150"/>
      <c r="CB23" s="150"/>
      <c r="CC23" s="151"/>
      <c r="CD23" s="157">
        <v>0</v>
      </c>
      <c r="CE23" s="150"/>
      <c r="CF23" s="150"/>
      <c r="CG23" s="151"/>
      <c r="CH23" s="157">
        <v>0</v>
      </c>
      <c r="CI23" s="150"/>
      <c r="CJ23" s="150"/>
      <c r="CK23" s="150"/>
      <c r="CL23" s="151"/>
      <c r="CM23" s="157">
        <v>0</v>
      </c>
      <c r="CN23" s="150"/>
      <c r="CO23" s="150"/>
      <c r="CP23" s="150"/>
      <c r="CQ23" s="151"/>
      <c r="CR23" s="157">
        <f>16896</f>
        <v>16896</v>
      </c>
      <c r="CS23" s="150"/>
      <c r="CT23" s="150"/>
      <c r="CU23" s="151"/>
      <c r="CV23" s="157">
        <f>3496.9+12714.16+8250+7800</f>
        <v>32261.059999999998</v>
      </c>
      <c r="CW23" s="150"/>
      <c r="CX23" s="150"/>
      <c r="CY23" s="151"/>
      <c r="CZ23" s="157">
        <f>10910.09+7800+5717.84</f>
        <v>24427.93</v>
      </c>
      <c r="DA23" s="150"/>
      <c r="DB23" s="150"/>
      <c r="DC23" s="150"/>
      <c r="DD23" s="151"/>
      <c r="DE23" s="157">
        <f>4217.01+7800</f>
        <v>12017.01</v>
      </c>
      <c r="DF23" s="150"/>
      <c r="DG23" s="150"/>
      <c r="DH23" s="151"/>
      <c r="DI23" s="89">
        <v>7800</v>
      </c>
      <c r="DJ23" s="90"/>
      <c r="DK23" s="90"/>
      <c r="DL23" s="90"/>
      <c r="DM23" s="91"/>
      <c r="DN23" s="157"/>
      <c r="DO23" s="150"/>
      <c r="DP23" s="150"/>
      <c r="DQ23" s="150"/>
      <c r="DR23" s="151"/>
      <c r="DS23" s="158">
        <v>0</v>
      </c>
      <c r="DT23" s="159"/>
      <c r="DU23" s="159"/>
      <c r="DV23" s="160"/>
      <c r="DW23" s="158"/>
      <c r="DX23" s="159"/>
      <c r="DY23" s="159"/>
      <c r="DZ23" s="160"/>
      <c r="EA23" s="32"/>
      <c r="EB23" s="33">
        <f t="shared" si="3"/>
        <v>93401.999999999985</v>
      </c>
      <c r="EC23" s="48">
        <f>EB23/EB40</f>
        <v>2.8413208890199264E-2</v>
      </c>
      <c r="EE23" s="33">
        <f t="shared" si="4"/>
        <v>-8250.0000000000146</v>
      </c>
      <c r="EF23" s="34">
        <f>EE23/EE40</f>
        <v>-0.10534948062067577</v>
      </c>
    </row>
    <row r="24" spans="1:136" ht="15" thickBot="1">
      <c r="A24" s="30" t="s">
        <v>43</v>
      </c>
      <c r="B24" s="47"/>
      <c r="C24" s="47"/>
      <c r="D24" s="31" t="s">
        <v>56</v>
      </c>
      <c r="E24" s="157">
        <v>25709.08</v>
      </c>
      <c r="F24" s="150"/>
      <c r="G24" s="150"/>
      <c r="H24" s="151"/>
      <c r="I24" s="157">
        <v>15000</v>
      </c>
      <c r="J24" s="150"/>
      <c r="K24" s="150"/>
      <c r="L24" s="151"/>
      <c r="M24" s="157">
        <v>20000</v>
      </c>
      <c r="N24" s="150"/>
      <c r="O24" s="150"/>
      <c r="P24" s="150"/>
      <c r="Q24" s="151"/>
      <c r="R24" s="157">
        <v>20000</v>
      </c>
      <c r="S24" s="150"/>
      <c r="T24" s="150"/>
      <c r="U24" s="150"/>
      <c r="V24" s="151"/>
      <c r="W24" s="157">
        <v>25000</v>
      </c>
      <c r="X24" s="150"/>
      <c r="Y24" s="150"/>
      <c r="Z24" s="151"/>
      <c r="AA24" s="157">
        <v>20000</v>
      </c>
      <c r="AB24" s="150"/>
      <c r="AC24" s="150"/>
      <c r="AD24" s="151"/>
      <c r="AE24" s="157">
        <v>25000</v>
      </c>
      <c r="AF24" s="150"/>
      <c r="AG24" s="150"/>
      <c r="AH24" s="150"/>
      <c r="AI24" s="151"/>
      <c r="AJ24" s="157">
        <v>25000</v>
      </c>
      <c r="AK24" s="150"/>
      <c r="AL24" s="150"/>
      <c r="AM24" s="151"/>
      <c r="AN24" s="88">
        <v>5000</v>
      </c>
      <c r="AO24" s="157">
        <v>15000</v>
      </c>
      <c r="AP24" s="150"/>
      <c r="AQ24" s="150"/>
      <c r="AR24" s="151"/>
      <c r="AS24" s="157">
        <v>20000</v>
      </c>
      <c r="AT24" s="150"/>
      <c r="AU24" s="150"/>
      <c r="AV24" s="150"/>
      <c r="AW24" s="151"/>
      <c r="AX24" s="157">
        <v>20000</v>
      </c>
      <c r="AY24" s="150"/>
      <c r="AZ24" s="150"/>
      <c r="BA24" s="151"/>
      <c r="BB24" s="157">
        <v>15000</v>
      </c>
      <c r="BC24" s="150"/>
      <c r="BD24" s="150"/>
      <c r="BE24" s="151"/>
      <c r="BF24" s="32"/>
      <c r="BG24" s="33">
        <f t="shared" si="2"/>
        <v>250709.08000000002</v>
      </c>
      <c r="BH24" s="48">
        <f>BG24/BG40</f>
        <v>7.8494669656674065E-2</v>
      </c>
      <c r="BJ24" s="33">
        <v>446310.1</v>
      </c>
      <c r="BK24" s="34">
        <f>BJ24/BJ40</f>
        <v>0.12922916922280961</v>
      </c>
      <c r="BL24" s="35"/>
      <c r="BM24" s="35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Y24" s="31" t="s">
        <v>56</v>
      </c>
      <c r="BZ24" s="157">
        <v>25173.17</v>
      </c>
      <c r="CA24" s="150"/>
      <c r="CB24" s="150"/>
      <c r="CC24" s="151"/>
      <c r="CD24" s="157">
        <v>18444.72</v>
      </c>
      <c r="CE24" s="150"/>
      <c r="CF24" s="150"/>
      <c r="CG24" s="151"/>
      <c r="CH24" s="157">
        <v>20949.580000000002</v>
      </c>
      <c r="CI24" s="150"/>
      <c r="CJ24" s="150"/>
      <c r="CK24" s="150"/>
      <c r="CL24" s="151"/>
      <c r="CM24" s="157">
        <v>17188.740000000002</v>
      </c>
      <c r="CN24" s="150"/>
      <c r="CO24" s="150"/>
      <c r="CP24" s="150"/>
      <c r="CQ24" s="151"/>
      <c r="CR24" s="157">
        <v>25581.47</v>
      </c>
      <c r="CS24" s="150"/>
      <c r="CT24" s="150"/>
      <c r="CU24" s="151"/>
      <c r="CV24" s="157">
        <f>21645.81</f>
        <v>21645.81</v>
      </c>
      <c r="CW24" s="150"/>
      <c r="CX24" s="150"/>
      <c r="CY24" s="151"/>
      <c r="CZ24" s="157">
        <v>24419.33</v>
      </c>
      <c r="DA24" s="150"/>
      <c r="DB24" s="150"/>
      <c r="DC24" s="150"/>
      <c r="DD24" s="151"/>
      <c r="DE24" s="157">
        <v>25629.78</v>
      </c>
      <c r="DF24" s="150"/>
      <c r="DG24" s="150"/>
      <c r="DH24" s="151"/>
      <c r="DI24" s="89">
        <v>18502.099999999999</v>
      </c>
      <c r="DJ24" s="90"/>
      <c r="DK24" s="90"/>
      <c r="DL24" s="90"/>
      <c r="DM24" s="91"/>
      <c r="DN24" s="157">
        <v>19529.79</v>
      </c>
      <c r="DO24" s="150"/>
      <c r="DP24" s="150"/>
      <c r="DQ24" s="150"/>
      <c r="DR24" s="151"/>
      <c r="DS24" s="158">
        <v>5000</v>
      </c>
      <c r="DT24" s="159"/>
      <c r="DU24" s="159"/>
      <c r="DV24" s="160"/>
      <c r="DW24" s="158">
        <v>0</v>
      </c>
      <c r="DX24" s="159"/>
      <c r="DY24" s="159"/>
      <c r="DZ24" s="160"/>
      <c r="EA24" s="32"/>
      <c r="EB24" s="33">
        <f t="shared" si="3"/>
        <v>222064.49000000002</v>
      </c>
      <c r="EC24" s="48">
        <f>EB24/EB40</f>
        <v>6.7552779827686413E-2</v>
      </c>
      <c r="EE24" s="33">
        <f t="shared" si="4"/>
        <v>-28644.589999999997</v>
      </c>
      <c r="EF24" s="34">
        <f>EE24/EE40</f>
        <v>-0.36578093079905422</v>
      </c>
    </row>
    <row r="25" spans="1:136" ht="15" thickBot="1">
      <c r="A25" s="30"/>
      <c r="B25" s="30"/>
      <c r="C25" s="47"/>
      <c r="D25" s="50" t="s">
        <v>57</v>
      </c>
      <c r="E25" s="157">
        <v>0</v>
      </c>
      <c r="F25" s="150"/>
      <c r="G25" s="150"/>
      <c r="H25" s="151"/>
      <c r="I25" s="157">
        <v>0</v>
      </c>
      <c r="J25" s="150"/>
      <c r="K25" s="150"/>
      <c r="L25" s="151"/>
      <c r="M25" s="157">
        <v>0</v>
      </c>
      <c r="N25" s="150"/>
      <c r="O25" s="150"/>
      <c r="P25" s="150"/>
      <c r="Q25" s="151"/>
      <c r="R25" s="157">
        <v>0</v>
      </c>
      <c r="S25" s="150"/>
      <c r="T25" s="150"/>
      <c r="U25" s="150"/>
      <c r="V25" s="151"/>
      <c r="W25" s="157">
        <v>0</v>
      </c>
      <c r="X25" s="150"/>
      <c r="Y25" s="150"/>
      <c r="Z25" s="151"/>
      <c r="AA25" s="157">
        <v>0</v>
      </c>
      <c r="AB25" s="150"/>
      <c r="AC25" s="150"/>
      <c r="AD25" s="151"/>
      <c r="AE25" s="157">
        <v>0</v>
      </c>
      <c r="AF25" s="150"/>
      <c r="AG25" s="150"/>
      <c r="AH25" s="150"/>
      <c r="AI25" s="151"/>
      <c r="AJ25" s="157">
        <v>0</v>
      </c>
      <c r="AK25" s="150"/>
      <c r="AL25" s="150"/>
      <c r="AM25" s="151"/>
      <c r="AN25" s="88">
        <v>0</v>
      </c>
      <c r="AO25" s="157">
        <v>0</v>
      </c>
      <c r="AP25" s="150"/>
      <c r="AQ25" s="150"/>
      <c r="AR25" s="151"/>
      <c r="AS25" s="157">
        <v>0</v>
      </c>
      <c r="AT25" s="150"/>
      <c r="AU25" s="150"/>
      <c r="AV25" s="150"/>
      <c r="AW25" s="151"/>
      <c r="AX25" s="157">
        <v>0</v>
      </c>
      <c r="AY25" s="150"/>
      <c r="AZ25" s="150"/>
      <c r="BA25" s="151"/>
      <c r="BB25" s="157">
        <v>0</v>
      </c>
      <c r="BC25" s="150"/>
      <c r="BD25" s="150"/>
      <c r="BE25" s="151"/>
      <c r="BF25" s="32"/>
      <c r="BG25" s="33">
        <f t="shared" si="2"/>
        <v>0</v>
      </c>
      <c r="BH25" s="48">
        <f>BG25/BG40</f>
        <v>0</v>
      </c>
      <c r="BJ25" s="33">
        <v>0</v>
      </c>
      <c r="BK25" s="34"/>
      <c r="BL25" s="35"/>
      <c r="BM25" s="35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Y25" s="50" t="s">
        <v>57</v>
      </c>
      <c r="BZ25" s="157">
        <v>0</v>
      </c>
      <c r="CA25" s="150"/>
      <c r="CB25" s="150"/>
      <c r="CC25" s="151"/>
      <c r="CD25" s="157">
        <v>0</v>
      </c>
      <c r="CE25" s="150"/>
      <c r="CF25" s="150"/>
      <c r="CG25" s="151"/>
      <c r="CH25" s="157">
        <v>0</v>
      </c>
      <c r="CI25" s="150"/>
      <c r="CJ25" s="150"/>
      <c r="CK25" s="150"/>
      <c r="CL25" s="151"/>
      <c r="CM25" s="157">
        <v>0</v>
      </c>
      <c r="CN25" s="150"/>
      <c r="CO25" s="150"/>
      <c r="CP25" s="150"/>
      <c r="CQ25" s="151"/>
      <c r="CR25" s="157">
        <v>0</v>
      </c>
      <c r="CS25" s="150"/>
      <c r="CT25" s="150"/>
      <c r="CU25" s="151"/>
      <c r="CV25" s="157">
        <v>0</v>
      </c>
      <c r="CW25" s="150"/>
      <c r="CX25" s="150"/>
      <c r="CY25" s="151"/>
      <c r="CZ25" s="157">
        <v>0</v>
      </c>
      <c r="DA25" s="150"/>
      <c r="DB25" s="150"/>
      <c r="DC25" s="150"/>
      <c r="DD25" s="151"/>
      <c r="DE25" s="157">
        <v>0</v>
      </c>
      <c r="DF25" s="150"/>
      <c r="DG25" s="150"/>
      <c r="DH25" s="151"/>
      <c r="DI25" s="89">
        <v>0</v>
      </c>
      <c r="DJ25" s="90"/>
      <c r="DK25" s="90"/>
      <c r="DL25" s="90"/>
      <c r="DM25" s="91"/>
      <c r="DN25" s="157"/>
      <c r="DO25" s="150"/>
      <c r="DP25" s="150"/>
      <c r="DQ25" s="150"/>
      <c r="DR25" s="151"/>
      <c r="DS25" s="158">
        <v>0</v>
      </c>
      <c r="DT25" s="159"/>
      <c r="DU25" s="159"/>
      <c r="DV25" s="160"/>
      <c r="DW25" s="158"/>
      <c r="DX25" s="159"/>
      <c r="DY25" s="159"/>
      <c r="DZ25" s="160"/>
      <c r="EA25" s="32"/>
      <c r="EB25" s="33">
        <f t="shared" si="3"/>
        <v>0</v>
      </c>
      <c r="EC25" s="48">
        <f>EB25/EB40</f>
        <v>0</v>
      </c>
      <c r="EE25" s="33">
        <f t="shared" si="4"/>
        <v>0</v>
      </c>
      <c r="EF25" s="34"/>
    </row>
    <row r="26" spans="1:136" ht="15.95" customHeight="1" thickBot="1">
      <c r="A26" s="30" t="s">
        <v>43</v>
      </c>
      <c r="B26" s="30"/>
      <c r="C26" s="47"/>
      <c r="D26" s="31" t="s">
        <v>58</v>
      </c>
      <c r="E26" s="157">
        <v>0</v>
      </c>
      <c r="F26" s="150"/>
      <c r="G26" s="150"/>
      <c r="H26" s="151"/>
      <c r="I26" s="157">
        <v>0</v>
      </c>
      <c r="J26" s="150"/>
      <c r="K26" s="150"/>
      <c r="L26" s="151"/>
      <c r="M26" s="157">
        <v>0</v>
      </c>
      <c r="N26" s="150"/>
      <c r="O26" s="150"/>
      <c r="P26" s="150"/>
      <c r="Q26" s="151"/>
      <c r="R26" s="157">
        <v>0</v>
      </c>
      <c r="S26" s="150"/>
      <c r="T26" s="150"/>
      <c r="U26" s="150"/>
      <c r="V26" s="151"/>
      <c r="W26" s="157">
        <v>40000</v>
      </c>
      <c r="X26" s="162"/>
      <c r="Y26" s="162"/>
      <c r="Z26" s="166"/>
      <c r="AA26" s="157">
        <v>40000</v>
      </c>
      <c r="AB26" s="162"/>
      <c r="AC26" s="162"/>
      <c r="AD26" s="166"/>
      <c r="AE26" s="157">
        <v>40000</v>
      </c>
      <c r="AF26" s="162"/>
      <c r="AG26" s="162"/>
      <c r="AH26" s="162"/>
      <c r="AI26" s="166"/>
      <c r="AJ26" s="157">
        <v>30000</v>
      </c>
      <c r="AK26" s="162"/>
      <c r="AL26" s="162"/>
      <c r="AM26" s="166"/>
      <c r="AN26" s="88">
        <v>0</v>
      </c>
      <c r="AO26" s="157">
        <v>40000</v>
      </c>
      <c r="AP26" s="162"/>
      <c r="AQ26" s="162"/>
      <c r="AR26" s="166"/>
      <c r="AS26" s="157">
        <v>30000</v>
      </c>
      <c r="AT26" s="162"/>
      <c r="AU26" s="162"/>
      <c r="AV26" s="162"/>
      <c r="AW26" s="166"/>
      <c r="AX26" s="157">
        <v>60000</v>
      </c>
      <c r="AY26" s="162"/>
      <c r="AZ26" s="162"/>
      <c r="BA26" s="166"/>
      <c r="BB26" s="157">
        <v>0</v>
      </c>
      <c r="BC26" s="150"/>
      <c r="BD26" s="150"/>
      <c r="BE26" s="151"/>
      <c r="BF26" s="32"/>
      <c r="BG26" s="33">
        <f t="shared" si="2"/>
        <v>280000</v>
      </c>
      <c r="BH26" s="48">
        <f>BG26/BG40</f>
        <v>8.7665382936544356E-2</v>
      </c>
      <c r="BJ26" s="132">
        <v>320099.48</v>
      </c>
      <c r="BK26" s="34">
        <f>BJ26/BJ40</f>
        <v>9.2684861644523303E-2</v>
      </c>
      <c r="BL26" s="35"/>
      <c r="BM26" s="35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Y26" s="31" t="s">
        <v>58</v>
      </c>
      <c r="BZ26" s="157">
        <v>0</v>
      </c>
      <c r="CA26" s="150"/>
      <c r="CB26" s="150"/>
      <c r="CC26" s="151"/>
      <c r="CD26" s="157">
        <v>0</v>
      </c>
      <c r="CE26" s="150"/>
      <c r="CF26" s="150"/>
      <c r="CG26" s="151"/>
      <c r="CH26" s="157">
        <v>0</v>
      </c>
      <c r="CI26" s="150"/>
      <c r="CJ26" s="150"/>
      <c r="CK26" s="150"/>
      <c r="CL26" s="151"/>
      <c r="CM26" s="157">
        <v>0</v>
      </c>
      <c r="CN26" s="150"/>
      <c r="CO26" s="150"/>
      <c r="CP26" s="150"/>
      <c r="CQ26" s="151"/>
      <c r="CR26" s="157">
        <f>11500+10872.08+16301.31</f>
        <v>38673.39</v>
      </c>
      <c r="CS26" s="162"/>
      <c r="CT26" s="162"/>
      <c r="CU26" s="166"/>
      <c r="CV26" s="157">
        <f>12928.62+8400+8399.99+5600+5600+593.38+241.11+159.99+498.7+327.92</f>
        <v>42749.709999999992</v>
      </c>
      <c r="CW26" s="162"/>
      <c r="CX26" s="162"/>
      <c r="CY26" s="166"/>
      <c r="CZ26" s="157">
        <f>12662.32+16206.61+6478.89+4320.01+2153.98</f>
        <v>41821.810000000005</v>
      </c>
      <c r="DA26" s="162"/>
      <c r="DB26" s="162"/>
      <c r="DC26" s="162"/>
      <c r="DD26" s="166"/>
      <c r="DE26" s="157">
        <f>7909.09+18846.01</f>
        <v>26755.1</v>
      </c>
      <c r="DF26" s="162"/>
      <c r="DG26" s="162"/>
      <c r="DH26" s="166"/>
      <c r="DI26" s="89">
        <v>39999.99</v>
      </c>
      <c r="DJ26" s="90"/>
      <c r="DK26" s="90"/>
      <c r="DL26" s="90"/>
      <c r="DM26" s="91"/>
      <c r="DN26" s="157"/>
      <c r="DO26" s="162"/>
      <c r="DP26" s="162"/>
      <c r="DQ26" s="162"/>
      <c r="DR26" s="166"/>
      <c r="DS26" s="158">
        <f>20160+8400+13440+27000</f>
        <v>69000</v>
      </c>
      <c r="DT26" s="167"/>
      <c r="DU26" s="167"/>
      <c r="DV26" s="168"/>
      <c r="DW26" s="158"/>
      <c r="DX26" s="159"/>
      <c r="DY26" s="159"/>
      <c r="DZ26" s="160"/>
      <c r="EA26" s="32"/>
      <c r="EB26" s="33">
        <f t="shared" si="3"/>
        <v>259000</v>
      </c>
      <c r="EC26" s="48">
        <f>EB26/EB40</f>
        <v>7.8788688706468921E-2</v>
      </c>
      <c r="EE26" s="132">
        <f>EB26+EB27-BG26-BG27</f>
        <v>3187.5999999999767</v>
      </c>
      <c r="EF26" s="34">
        <f>EE26/EE40</f>
        <v>4.0704485385025822E-2</v>
      </c>
    </row>
    <row r="27" spans="1:136" ht="15" thickBot="1">
      <c r="A27" s="30" t="s">
        <v>43</v>
      </c>
      <c r="B27" s="30"/>
      <c r="C27" s="47"/>
      <c r="D27" s="31" t="s">
        <v>59</v>
      </c>
      <c r="E27" s="157">
        <v>0</v>
      </c>
      <c r="F27" s="150"/>
      <c r="G27" s="150"/>
      <c r="H27" s="151"/>
      <c r="I27" s="157">
        <v>10000</v>
      </c>
      <c r="J27" s="150"/>
      <c r="K27" s="150"/>
      <c r="L27" s="151"/>
      <c r="M27" s="157">
        <v>15000</v>
      </c>
      <c r="N27" s="150"/>
      <c r="O27" s="150"/>
      <c r="P27" s="150"/>
      <c r="Q27" s="151"/>
      <c r="R27" s="157">
        <v>15000</v>
      </c>
      <c r="S27" s="150"/>
      <c r="T27" s="150"/>
      <c r="U27" s="150"/>
      <c r="V27" s="151"/>
      <c r="W27" s="157">
        <v>10000</v>
      </c>
      <c r="X27" s="150"/>
      <c r="Y27" s="150"/>
      <c r="Z27" s="151"/>
      <c r="AA27" s="157">
        <v>10000</v>
      </c>
      <c r="AB27" s="150"/>
      <c r="AC27" s="150"/>
      <c r="AD27" s="151"/>
      <c r="AE27" s="157">
        <v>10000</v>
      </c>
      <c r="AF27" s="150"/>
      <c r="AG27" s="150"/>
      <c r="AH27" s="150"/>
      <c r="AI27" s="151"/>
      <c r="AJ27" s="157">
        <v>10000</v>
      </c>
      <c r="AK27" s="150"/>
      <c r="AL27" s="150"/>
      <c r="AM27" s="151"/>
      <c r="AN27" s="88">
        <v>5000</v>
      </c>
      <c r="AO27" s="157">
        <v>5000</v>
      </c>
      <c r="AP27" s="150"/>
      <c r="AQ27" s="150"/>
      <c r="AR27" s="151"/>
      <c r="AS27" s="157">
        <v>10000</v>
      </c>
      <c r="AT27" s="150"/>
      <c r="AU27" s="150"/>
      <c r="AV27" s="150"/>
      <c r="AW27" s="151"/>
      <c r="AX27" s="157">
        <v>10000</v>
      </c>
      <c r="AY27" s="150"/>
      <c r="AZ27" s="150"/>
      <c r="BA27" s="151"/>
      <c r="BB27" s="157">
        <v>5000</v>
      </c>
      <c r="BC27" s="150"/>
      <c r="BD27" s="150"/>
      <c r="BE27" s="151"/>
      <c r="BF27" s="32"/>
      <c r="BG27" s="33">
        <f t="shared" si="2"/>
        <v>115000</v>
      </c>
      <c r="BH27" s="48">
        <f>BG27/BG40</f>
        <v>3.6005425134652151E-2</v>
      </c>
      <c r="BJ27" s="169"/>
      <c r="BK27" s="34">
        <f>BJ27/BJ40</f>
        <v>0</v>
      </c>
      <c r="BL27" s="35"/>
      <c r="BM27" s="35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Y27" s="31" t="s">
        <v>59</v>
      </c>
      <c r="BZ27" s="157">
        <v>0</v>
      </c>
      <c r="CA27" s="150"/>
      <c r="CB27" s="150"/>
      <c r="CC27" s="151"/>
      <c r="CD27" s="157">
        <v>9187.51</v>
      </c>
      <c r="CE27" s="162"/>
      <c r="CF27" s="162"/>
      <c r="CG27" s="166"/>
      <c r="CH27" s="157">
        <v>10500</v>
      </c>
      <c r="CI27" s="162"/>
      <c r="CJ27" s="162"/>
      <c r="CK27" s="162"/>
      <c r="CL27" s="166"/>
      <c r="CM27" s="157">
        <v>10500</v>
      </c>
      <c r="CN27" s="162"/>
      <c r="CO27" s="162"/>
      <c r="CP27" s="162"/>
      <c r="CQ27" s="166"/>
      <c r="CR27" s="157">
        <v>19655.650000000001</v>
      </c>
      <c r="CS27" s="162"/>
      <c r="CT27" s="162"/>
      <c r="CU27" s="166"/>
      <c r="CV27" s="157">
        <f>263.04+227.29+97.06+7350.01+3150+28.16</f>
        <v>11115.560000000001</v>
      </c>
      <c r="CW27" s="162"/>
      <c r="CX27" s="162"/>
      <c r="CY27" s="166"/>
      <c r="CZ27" s="157">
        <f>75126.64-24427.93-CZ26</f>
        <v>8876.8999999999942</v>
      </c>
      <c r="DA27" s="162"/>
      <c r="DB27" s="162"/>
      <c r="DC27" s="162"/>
      <c r="DD27" s="166"/>
      <c r="DE27" s="157">
        <f>3199.99+800+680.66+6411.3</f>
        <v>11091.95</v>
      </c>
      <c r="DF27" s="162"/>
      <c r="DG27" s="162"/>
      <c r="DH27" s="166"/>
      <c r="DI27" s="89">
        <v>8130.02</v>
      </c>
      <c r="DJ27" s="90"/>
      <c r="DK27" s="90"/>
      <c r="DL27" s="90"/>
      <c r="DM27" s="91"/>
      <c r="DN27" s="157">
        <v>29130.01</v>
      </c>
      <c r="DO27" s="162"/>
      <c r="DP27" s="162"/>
      <c r="DQ27" s="162"/>
      <c r="DR27" s="166"/>
      <c r="DS27" s="158">
        <f>9800+4200</f>
        <v>14000</v>
      </c>
      <c r="DT27" s="167"/>
      <c r="DU27" s="167"/>
      <c r="DV27" s="168"/>
      <c r="DW27" s="158">
        <v>7000</v>
      </c>
      <c r="DX27" s="167"/>
      <c r="DY27" s="167"/>
      <c r="DZ27" s="168"/>
      <c r="EA27" s="32"/>
      <c r="EB27" s="33">
        <f t="shared" si="3"/>
        <v>139187.59999999998</v>
      </c>
      <c r="EC27" s="48">
        <f>EB27/EB40</f>
        <v>4.2341345514287691E-2</v>
      </c>
      <c r="EE27" s="169"/>
      <c r="EF27" s="34">
        <f>EE27/EE40</f>
        <v>0</v>
      </c>
    </row>
    <row r="28" spans="1:136" ht="15" thickBot="1">
      <c r="A28" s="30" t="s">
        <v>43</v>
      </c>
      <c r="B28" s="30"/>
      <c r="C28" s="47"/>
      <c r="D28" s="31" t="s">
        <v>60</v>
      </c>
      <c r="E28" s="157">
        <v>13375</v>
      </c>
      <c r="F28" s="150"/>
      <c r="G28" s="150"/>
      <c r="H28" s="151"/>
      <c r="I28" s="157">
        <v>10000</v>
      </c>
      <c r="J28" s="150"/>
      <c r="K28" s="150"/>
      <c r="L28" s="151"/>
      <c r="M28" s="157">
        <v>20000</v>
      </c>
      <c r="N28" s="150"/>
      <c r="O28" s="150"/>
      <c r="P28" s="150"/>
      <c r="Q28" s="151"/>
      <c r="R28" s="157">
        <v>20000</v>
      </c>
      <c r="S28" s="150"/>
      <c r="T28" s="150"/>
      <c r="U28" s="150"/>
      <c r="V28" s="151"/>
      <c r="W28" s="157">
        <v>15000</v>
      </c>
      <c r="X28" s="150"/>
      <c r="Y28" s="150"/>
      <c r="Z28" s="151"/>
      <c r="AA28" s="157">
        <v>20000</v>
      </c>
      <c r="AB28" s="150"/>
      <c r="AC28" s="150"/>
      <c r="AD28" s="151"/>
      <c r="AE28" s="157">
        <v>15000</v>
      </c>
      <c r="AF28" s="150"/>
      <c r="AG28" s="150"/>
      <c r="AH28" s="150"/>
      <c r="AI28" s="151"/>
      <c r="AJ28" s="157">
        <v>15000</v>
      </c>
      <c r="AK28" s="150"/>
      <c r="AL28" s="150"/>
      <c r="AM28" s="151"/>
      <c r="AN28" s="88">
        <v>5000</v>
      </c>
      <c r="AO28" s="157">
        <v>15000</v>
      </c>
      <c r="AP28" s="150"/>
      <c r="AQ28" s="150"/>
      <c r="AR28" s="151"/>
      <c r="AS28" s="157">
        <v>20000</v>
      </c>
      <c r="AT28" s="150"/>
      <c r="AU28" s="150"/>
      <c r="AV28" s="150"/>
      <c r="AW28" s="151"/>
      <c r="AX28" s="157">
        <v>15000</v>
      </c>
      <c r="AY28" s="150"/>
      <c r="AZ28" s="150"/>
      <c r="BA28" s="151"/>
      <c r="BB28" s="157">
        <v>15000</v>
      </c>
      <c r="BC28" s="150"/>
      <c r="BD28" s="150"/>
      <c r="BE28" s="151"/>
      <c r="BF28" s="32"/>
      <c r="BG28" s="33">
        <f t="shared" si="2"/>
        <v>198375</v>
      </c>
      <c r="BH28" s="48">
        <f>BG28/BG40</f>
        <v>6.2109358357274956E-2</v>
      </c>
      <c r="BJ28" s="132">
        <v>306735.90000000002</v>
      </c>
      <c r="BK28" s="34">
        <f>BJ28/BJ40</f>
        <v>8.8815434667086426E-2</v>
      </c>
      <c r="BL28" s="35"/>
      <c r="BM28" s="35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Y28" s="31" t="s">
        <v>60</v>
      </c>
      <c r="BZ28" s="157">
        <f>18374.93</f>
        <v>18374.93</v>
      </c>
      <c r="CA28" s="150"/>
      <c r="CB28" s="150"/>
      <c r="CC28" s="151"/>
      <c r="CD28" s="157">
        <v>13781</v>
      </c>
      <c r="CE28" s="150"/>
      <c r="CF28" s="150"/>
      <c r="CG28" s="151"/>
      <c r="CH28" s="157">
        <v>18374.89</v>
      </c>
      <c r="CI28" s="150"/>
      <c r="CJ28" s="150"/>
      <c r="CK28" s="150"/>
      <c r="CL28" s="151"/>
      <c r="CM28" s="157">
        <v>20000</v>
      </c>
      <c r="CN28" s="150"/>
      <c r="CO28" s="150"/>
      <c r="CP28" s="150"/>
      <c r="CQ28" s="151"/>
      <c r="CR28" s="157">
        <v>16998.97</v>
      </c>
      <c r="CS28" s="150"/>
      <c r="CT28" s="150"/>
      <c r="CU28" s="151"/>
      <c r="CV28" s="157">
        <v>19528.490000000002</v>
      </c>
      <c r="CW28" s="162"/>
      <c r="CX28" s="162"/>
      <c r="CY28" s="166"/>
      <c r="CZ28" s="157">
        <v>14999.38</v>
      </c>
      <c r="DA28" s="150"/>
      <c r="DB28" s="150"/>
      <c r="DC28" s="150"/>
      <c r="DD28" s="151"/>
      <c r="DE28" s="157">
        <v>24670.91</v>
      </c>
      <c r="DF28" s="150"/>
      <c r="DG28" s="150"/>
      <c r="DH28" s="151"/>
      <c r="DI28" s="89">
        <v>19382.43</v>
      </c>
      <c r="DJ28" s="90"/>
      <c r="DK28" s="90"/>
      <c r="DL28" s="90"/>
      <c r="DM28" s="91"/>
      <c r="DN28" s="157">
        <v>20000</v>
      </c>
      <c r="DO28" s="150"/>
      <c r="DP28" s="150"/>
      <c r="DQ28" s="150"/>
      <c r="DR28" s="151"/>
      <c r="DS28" s="158">
        <v>15000</v>
      </c>
      <c r="DT28" s="159"/>
      <c r="DU28" s="159"/>
      <c r="DV28" s="160"/>
      <c r="DW28" s="158">
        <v>15000</v>
      </c>
      <c r="DX28" s="159"/>
      <c r="DY28" s="159"/>
      <c r="DZ28" s="160"/>
      <c r="EA28" s="32"/>
      <c r="EB28" s="33">
        <f t="shared" si="3"/>
        <v>216111</v>
      </c>
      <c r="EC28" s="48">
        <f>EB28/EB40</f>
        <v>6.5741707741481484E-2</v>
      </c>
      <c r="EE28" s="132">
        <f>EB28+EB29-BG28-BG29</f>
        <v>7736</v>
      </c>
      <c r="EF28" s="34">
        <f>EE28/EE40</f>
        <v>9.8785888737157129E-2</v>
      </c>
    </row>
    <row r="29" spans="1:136" ht="15" thickBot="1">
      <c r="A29" s="47"/>
      <c r="B29" s="47"/>
      <c r="C29" s="47"/>
      <c r="D29" s="50" t="s">
        <v>61</v>
      </c>
      <c r="E29" s="157">
        <v>5000</v>
      </c>
      <c r="F29" s="150"/>
      <c r="G29" s="150"/>
      <c r="H29" s="151"/>
      <c r="I29" s="157">
        <v>5000</v>
      </c>
      <c r="J29" s="150"/>
      <c r="K29" s="150"/>
      <c r="L29" s="151"/>
      <c r="M29" s="157">
        <v>0</v>
      </c>
      <c r="N29" s="150"/>
      <c r="O29" s="150"/>
      <c r="P29" s="150"/>
      <c r="Q29" s="151"/>
      <c r="R29" s="157">
        <v>0</v>
      </c>
      <c r="S29" s="150"/>
      <c r="T29" s="150"/>
      <c r="U29" s="150"/>
      <c r="V29" s="151"/>
      <c r="W29" s="157">
        <v>0</v>
      </c>
      <c r="X29" s="150"/>
      <c r="Y29" s="150"/>
      <c r="Z29" s="151"/>
      <c r="AA29" s="157">
        <v>0</v>
      </c>
      <c r="AB29" s="150"/>
      <c r="AC29" s="150"/>
      <c r="AD29" s="151"/>
      <c r="AE29" s="157">
        <v>0</v>
      </c>
      <c r="AF29" s="150"/>
      <c r="AG29" s="150"/>
      <c r="AH29" s="150"/>
      <c r="AI29" s="151"/>
      <c r="AJ29" s="157">
        <v>0</v>
      </c>
      <c r="AK29" s="150"/>
      <c r="AL29" s="150"/>
      <c r="AM29" s="151"/>
      <c r="AN29" s="88">
        <v>0</v>
      </c>
      <c r="AO29" s="157">
        <v>0</v>
      </c>
      <c r="AP29" s="150"/>
      <c r="AQ29" s="150"/>
      <c r="AR29" s="151"/>
      <c r="AS29" s="157">
        <v>0</v>
      </c>
      <c r="AT29" s="150"/>
      <c r="AU29" s="150"/>
      <c r="AV29" s="150"/>
      <c r="AW29" s="151"/>
      <c r="AX29" s="157">
        <v>0</v>
      </c>
      <c r="AY29" s="150"/>
      <c r="AZ29" s="150"/>
      <c r="BA29" s="151"/>
      <c r="BB29" s="157">
        <v>0</v>
      </c>
      <c r="BC29" s="150"/>
      <c r="BD29" s="150"/>
      <c r="BE29" s="151"/>
      <c r="BF29" s="32"/>
      <c r="BG29" s="33">
        <f t="shared" si="2"/>
        <v>10000</v>
      </c>
      <c r="BH29" s="48">
        <f>BG29/BG40</f>
        <v>3.1309065334480129E-3</v>
      </c>
      <c r="BJ29" s="169"/>
      <c r="BK29" s="34"/>
      <c r="BL29" s="35"/>
      <c r="BM29" s="35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Y29" s="50" t="s">
        <v>61</v>
      </c>
      <c r="BZ29" s="157">
        <v>0</v>
      </c>
      <c r="CA29" s="150"/>
      <c r="CB29" s="150"/>
      <c r="CC29" s="151"/>
      <c r="CD29" s="157">
        <v>0</v>
      </c>
      <c r="CE29" s="150"/>
      <c r="CF29" s="150"/>
      <c r="CG29" s="151"/>
      <c r="CH29" s="157">
        <v>0</v>
      </c>
      <c r="CI29" s="150"/>
      <c r="CJ29" s="150"/>
      <c r="CK29" s="150"/>
      <c r="CL29" s="151"/>
      <c r="CM29" s="157">
        <v>0</v>
      </c>
      <c r="CN29" s="150"/>
      <c r="CO29" s="150"/>
      <c r="CP29" s="150"/>
      <c r="CQ29" s="151"/>
      <c r="CR29" s="157">
        <v>0</v>
      </c>
      <c r="CS29" s="150"/>
      <c r="CT29" s="150"/>
      <c r="CU29" s="151"/>
      <c r="CV29" s="157">
        <v>0</v>
      </c>
      <c r="CW29" s="150"/>
      <c r="CX29" s="150"/>
      <c r="CY29" s="151"/>
      <c r="CZ29" s="157">
        <v>0</v>
      </c>
      <c r="DA29" s="150"/>
      <c r="DB29" s="150"/>
      <c r="DC29" s="150"/>
      <c r="DD29" s="151"/>
      <c r="DE29" s="157">
        <v>0</v>
      </c>
      <c r="DF29" s="150"/>
      <c r="DG29" s="150"/>
      <c r="DH29" s="151"/>
      <c r="DI29" s="89">
        <v>0</v>
      </c>
      <c r="DJ29" s="90"/>
      <c r="DK29" s="90"/>
      <c r="DL29" s="90"/>
      <c r="DM29" s="91"/>
      <c r="DN29" s="157"/>
      <c r="DO29" s="150"/>
      <c r="DP29" s="150"/>
      <c r="DQ29" s="150"/>
      <c r="DR29" s="151"/>
      <c r="DS29" s="158">
        <v>0</v>
      </c>
      <c r="DT29" s="159"/>
      <c r="DU29" s="159"/>
      <c r="DV29" s="160"/>
      <c r="DW29" s="158"/>
      <c r="DX29" s="159"/>
      <c r="DY29" s="159"/>
      <c r="DZ29" s="160"/>
      <c r="EA29" s="32"/>
      <c r="EB29" s="33">
        <f t="shared" si="3"/>
        <v>0</v>
      </c>
      <c r="EC29" s="48">
        <f>EB29/EB40</f>
        <v>0</v>
      </c>
      <c r="EE29" s="169"/>
      <c r="EF29" s="34"/>
    </row>
    <row r="30" spans="1:136" ht="15" thickBot="1">
      <c r="A30" s="47"/>
      <c r="B30" s="47"/>
      <c r="C30" s="47"/>
      <c r="D30" s="31" t="s">
        <v>62</v>
      </c>
      <c r="E30" s="157">
        <v>0</v>
      </c>
      <c r="F30" s="150"/>
      <c r="G30" s="150"/>
      <c r="H30" s="151"/>
      <c r="I30" s="157">
        <v>0</v>
      </c>
      <c r="J30" s="150"/>
      <c r="K30" s="150"/>
      <c r="L30" s="151"/>
      <c r="M30" s="157">
        <v>5000</v>
      </c>
      <c r="N30" s="150"/>
      <c r="O30" s="150"/>
      <c r="P30" s="150"/>
      <c r="Q30" s="151"/>
      <c r="R30" s="157">
        <v>0</v>
      </c>
      <c r="S30" s="150"/>
      <c r="T30" s="150"/>
      <c r="U30" s="150"/>
      <c r="V30" s="151"/>
      <c r="W30" s="157">
        <v>0</v>
      </c>
      <c r="X30" s="150"/>
      <c r="Y30" s="150"/>
      <c r="Z30" s="151"/>
      <c r="AA30" s="157">
        <v>5000</v>
      </c>
      <c r="AB30" s="150"/>
      <c r="AC30" s="150"/>
      <c r="AD30" s="151"/>
      <c r="AE30" s="157">
        <v>5000</v>
      </c>
      <c r="AF30" s="150"/>
      <c r="AG30" s="150"/>
      <c r="AH30" s="150"/>
      <c r="AI30" s="151"/>
      <c r="AJ30" s="157">
        <v>5000</v>
      </c>
      <c r="AK30" s="150"/>
      <c r="AL30" s="150"/>
      <c r="AM30" s="151"/>
      <c r="AN30" s="88">
        <v>0</v>
      </c>
      <c r="AO30" s="157">
        <v>5000</v>
      </c>
      <c r="AP30" s="150"/>
      <c r="AQ30" s="150"/>
      <c r="AR30" s="151"/>
      <c r="AS30" s="157">
        <v>0</v>
      </c>
      <c r="AT30" s="150"/>
      <c r="AU30" s="150"/>
      <c r="AV30" s="150"/>
      <c r="AW30" s="151"/>
      <c r="AX30" s="157">
        <v>0</v>
      </c>
      <c r="AY30" s="150"/>
      <c r="AZ30" s="150"/>
      <c r="BA30" s="151"/>
      <c r="BB30" s="157">
        <v>0</v>
      </c>
      <c r="BC30" s="150"/>
      <c r="BD30" s="150"/>
      <c r="BE30" s="151"/>
      <c r="BF30" s="32"/>
      <c r="BG30" s="33">
        <f t="shared" si="2"/>
        <v>25000</v>
      </c>
      <c r="BH30" s="48">
        <f>BG30/BG40</f>
        <v>7.827266333620032E-3</v>
      </c>
      <c r="BJ30" s="33">
        <v>0</v>
      </c>
      <c r="BK30" s="34">
        <f>BJ30/BJ40</f>
        <v>0</v>
      </c>
      <c r="BL30" s="35"/>
      <c r="BM30" s="35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Y30" s="31" t="s">
        <v>62</v>
      </c>
      <c r="BZ30" s="157">
        <v>0</v>
      </c>
      <c r="CA30" s="150"/>
      <c r="CB30" s="150"/>
      <c r="CC30" s="151"/>
      <c r="CD30" s="157">
        <v>0</v>
      </c>
      <c r="CE30" s="150"/>
      <c r="CF30" s="150"/>
      <c r="CG30" s="151"/>
      <c r="CH30" s="157">
        <v>4593.75</v>
      </c>
      <c r="CI30" s="150"/>
      <c r="CJ30" s="150"/>
      <c r="CK30" s="150"/>
      <c r="CL30" s="151"/>
      <c r="CM30" s="157">
        <v>0</v>
      </c>
      <c r="CN30" s="150"/>
      <c r="CO30" s="150"/>
      <c r="CP30" s="150"/>
      <c r="CQ30" s="151"/>
      <c r="CR30" s="157">
        <v>0</v>
      </c>
      <c r="CS30" s="150"/>
      <c r="CT30" s="150"/>
      <c r="CU30" s="151"/>
      <c r="CV30" s="157">
        <v>5000</v>
      </c>
      <c r="CW30" s="150"/>
      <c r="CX30" s="150"/>
      <c r="CY30" s="151"/>
      <c r="CZ30" s="157">
        <v>0</v>
      </c>
      <c r="DA30" s="150"/>
      <c r="DB30" s="150"/>
      <c r="DC30" s="150"/>
      <c r="DD30" s="151"/>
      <c r="DE30" s="157">
        <v>1712.43</v>
      </c>
      <c r="DF30" s="150"/>
      <c r="DG30" s="150"/>
      <c r="DH30" s="151"/>
      <c r="DI30" s="89">
        <v>5000</v>
      </c>
      <c r="DJ30" s="90"/>
      <c r="DK30" s="90"/>
      <c r="DL30" s="90"/>
      <c r="DM30" s="91"/>
      <c r="DN30" s="157"/>
      <c r="DO30" s="150"/>
      <c r="DP30" s="150"/>
      <c r="DQ30" s="150"/>
      <c r="DR30" s="151"/>
      <c r="DS30" s="158">
        <v>0</v>
      </c>
      <c r="DT30" s="159"/>
      <c r="DU30" s="159"/>
      <c r="DV30" s="160"/>
      <c r="DW30" s="158"/>
      <c r="DX30" s="159"/>
      <c r="DY30" s="159"/>
      <c r="DZ30" s="160"/>
      <c r="EA30" s="32"/>
      <c r="EB30" s="33">
        <f t="shared" si="3"/>
        <v>16306.18</v>
      </c>
      <c r="EC30" s="48">
        <f>EB30/EB40</f>
        <v>4.960395907380886E-3</v>
      </c>
      <c r="EE30" s="33">
        <f t="shared" ref="EE30" si="5">EB30-BG30</f>
        <v>-8693.82</v>
      </c>
      <c r="EF30" s="34">
        <f>EE30/EE40</f>
        <v>-0.11101689958904749</v>
      </c>
    </row>
    <row r="31" spans="1:136" ht="15" thickBot="1">
      <c r="A31" s="49"/>
      <c r="B31" s="49"/>
      <c r="C31" s="49"/>
      <c r="D31" s="31" t="s">
        <v>63</v>
      </c>
      <c r="E31" s="157">
        <v>0</v>
      </c>
      <c r="F31" s="150"/>
      <c r="G31" s="150"/>
      <c r="H31" s="151"/>
      <c r="I31" s="157">
        <v>0</v>
      </c>
      <c r="J31" s="150"/>
      <c r="K31" s="150"/>
      <c r="L31" s="151"/>
      <c r="M31" s="157">
        <v>0</v>
      </c>
      <c r="N31" s="150"/>
      <c r="O31" s="150"/>
      <c r="P31" s="150"/>
      <c r="Q31" s="151"/>
      <c r="R31" s="157">
        <v>0</v>
      </c>
      <c r="S31" s="150"/>
      <c r="T31" s="150"/>
      <c r="U31" s="150"/>
      <c r="V31" s="151"/>
      <c r="W31" s="157">
        <v>0</v>
      </c>
      <c r="X31" s="150"/>
      <c r="Y31" s="150"/>
      <c r="Z31" s="151"/>
      <c r="AA31" s="157">
        <v>0</v>
      </c>
      <c r="AB31" s="150"/>
      <c r="AC31" s="150"/>
      <c r="AD31" s="151"/>
      <c r="AE31" s="157">
        <v>0</v>
      </c>
      <c r="AF31" s="150"/>
      <c r="AG31" s="150"/>
      <c r="AH31" s="150"/>
      <c r="AI31" s="151"/>
      <c r="AJ31" s="157">
        <v>0</v>
      </c>
      <c r="AK31" s="150"/>
      <c r="AL31" s="150"/>
      <c r="AM31" s="151"/>
      <c r="AN31" s="88">
        <v>0</v>
      </c>
      <c r="AO31" s="157">
        <v>0</v>
      </c>
      <c r="AP31" s="150"/>
      <c r="AQ31" s="150"/>
      <c r="AR31" s="151"/>
      <c r="AS31" s="157">
        <v>0</v>
      </c>
      <c r="AT31" s="150"/>
      <c r="AU31" s="150"/>
      <c r="AV31" s="150"/>
      <c r="AW31" s="151"/>
      <c r="AX31" s="157">
        <v>0</v>
      </c>
      <c r="AY31" s="150"/>
      <c r="AZ31" s="150"/>
      <c r="BA31" s="151"/>
      <c r="BB31" s="157">
        <v>0</v>
      </c>
      <c r="BC31" s="150"/>
      <c r="BD31" s="150"/>
      <c r="BE31" s="151"/>
      <c r="BF31" s="32"/>
      <c r="BG31" s="33">
        <f t="shared" si="2"/>
        <v>0</v>
      </c>
      <c r="BH31" s="48">
        <f>BG31/BG40</f>
        <v>0</v>
      </c>
      <c r="BJ31" s="33">
        <v>0</v>
      </c>
      <c r="BK31" s="34">
        <f>BJ31/BJ40</f>
        <v>0</v>
      </c>
      <c r="BL31" s="35"/>
      <c r="BM31" s="35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Y31" s="31" t="s">
        <v>63</v>
      </c>
      <c r="BZ31" s="157">
        <v>0</v>
      </c>
      <c r="CA31" s="150"/>
      <c r="CB31" s="150"/>
      <c r="CC31" s="151"/>
      <c r="CD31" s="157">
        <v>0</v>
      </c>
      <c r="CE31" s="150"/>
      <c r="CF31" s="150"/>
      <c r="CG31" s="151"/>
      <c r="CH31" s="157">
        <v>0</v>
      </c>
      <c r="CI31" s="150"/>
      <c r="CJ31" s="150"/>
      <c r="CK31" s="150"/>
      <c r="CL31" s="151"/>
      <c r="CM31" s="157">
        <v>0</v>
      </c>
      <c r="CN31" s="150"/>
      <c r="CO31" s="150"/>
      <c r="CP31" s="150"/>
      <c r="CQ31" s="151"/>
      <c r="CR31" s="157">
        <v>0</v>
      </c>
      <c r="CS31" s="150"/>
      <c r="CT31" s="150"/>
      <c r="CU31" s="151"/>
      <c r="CV31" s="157">
        <v>0</v>
      </c>
      <c r="CW31" s="150"/>
      <c r="CX31" s="150"/>
      <c r="CY31" s="151"/>
      <c r="CZ31" s="157">
        <v>0</v>
      </c>
      <c r="DA31" s="150"/>
      <c r="DB31" s="150"/>
      <c r="DC31" s="150"/>
      <c r="DD31" s="151"/>
      <c r="DE31" s="157">
        <v>0</v>
      </c>
      <c r="DF31" s="150"/>
      <c r="DG31" s="150"/>
      <c r="DH31" s="151"/>
      <c r="DI31" s="89">
        <v>0</v>
      </c>
      <c r="DJ31" s="90"/>
      <c r="DK31" s="90"/>
      <c r="DL31" s="90"/>
      <c r="DM31" s="91"/>
      <c r="DN31" s="157"/>
      <c r="DO31" s="150"/>
      <c r="DP31" s="150"/>
      <c r="DQ31" s="150"/>
      <c r="DR31" s="151"/>
      <c r="DS31" s="158">
        <v>0</v>
      </c>
      <c r="DT31" s="159"/>
      <c r="DU31" s="159"/>
      <c r="DV31" s="160"/>
      <c r="DW31" s="158"/>
      <c r="DX31" s="159"/>
      <c r="DY31" s="159"/>
      <c r="DZ31" s="160"/>
      <c r="EA31" s="32"/>
      <c r="EB31" s="33">
        <f t="shared" si="3"/>
        <v>0</v>
      </c>
      <c r="EC31" s="48">
        <f>EB31/EB40</f>
        <v>0</v>
      </c>
      <c r="EE31" s="33">
        <v>0</v>
      </c>
      <c r="EF31" s="34">
        <f>EE31/EE40</f>
        <v>0</v>
      </c>
    </row>
    <row r="32" spans="1:136" ht="32.25" customHeight="1" thickBot="1">
      <c r="A32" s="40"/>
      <c r="B32" s="40"/>
      <c r="C32" s="40"/>
      <c r="D32" s="41" t="s">
        <v>64</v>
      </c>
      <c r="E32" s="163">
        <f>E31+E30+E28+E27+E26+E24+E23+E19+E29+E22+E25+E20+E21</f>
        <v>60034.080000000002</v>
      </c>
      <c r="F32" s="150"/>
      <c r="G32" s="150"/>
      <c r="H32" s="151"/>
      <c r="I32" s="163">
        <f>I31+I30+I28+I27+I26+I24+I23+I19+I29+I22+I25+I20+I21</f>
        <v>47350</v>
      </c>
      <c r="J32" s="150"/>
      <c r="K32" s="150"/>
      <c r="L32" s="151"/>
      <c r="M32" s="163">
        <f>M31+M30+M28+M27+M26+M24+M23+M19+M29+M22+M25+M20+M21</f>
        <v>69150</v>
      </c>
      <c r="N32" s="150"/>
      <c r="O32" s="150"/>
      <c r="P32" s="150"/>
      <c r="Q32" s="151"/>
      <c r="R32" s="163">
        <f>R31+R30+R28+R27+R26+R24+R23+R19+R29+R22+R25+R20+R21</f>
        <v>79500</v>
      </c>
      <c r="S32" s="150"/>
      <c r="T32" s="150"/>
      <c r="U32" s="150"/>
      <c r="V32" s="151"/>
      <c r="W32" s="163">
        <f>W31+W30+W28+W27+W26+W24+W23+W19+W29+W22+W25+W20+W21</f>
        <v>106896</v>
      </c>
      <c r="X32" s="150"/>
      <c r="Y32" s="150"/>
      <c r="Z32" s="151"/>
      <c r="AA32" s="163">
        <f>AA31+AA30+AA28+AA27+AA26+AA24+AA23+AA19+AA29+AA22+AA25+AA20+AA21</f>
        <v>192732</v>
      </c>
      <c r="AB32" s="150"/>
      <c r="AC32" s="150"/>
      <c r="AD32" s="151"/>
      <c r="AE32" s="163">
        <f>AE31+AE30+AE28+AE27+AE26+AE24+AE23+AE19+AE29+AE22+AE25+AE20+AE21</f>
        <v>168862</v>
      </c>
      <c r="AF32" s="150"/>
      <c r="AG32" s="150"/>
      <c r="AH32" s="150"/>
      <c r="AI32" s="151"/>
      <c r="AJ32" s="163">
        <f>AJ31+AJ30+AJ28+AJ27+AJ26+AJ24+AJ23+AJ19+AJ29+AJ22+AJ25+AJ20+AJ21</f>
        <v>110612</v>
      </c>
      <c r="AK32" s="150"/>
      <c r="AL32" s="150"/>
      <c r="AM32" s="151"/>
      <c r="AN32" s="51">
        <f>SUM(AN18:AN31)</f>
        <v>22800</v>
      </c>
      <c r="AO32" s="163">
        <f>AO19+AO20+AO21+AO22+AO23+AO24+AO25+AO26+AO27+AO28+AO30+AO29+AO31</f>
        <v>120000</v>
      </c>
      <c r="AP32" s="150"/>
      <c r="AQ32" s="150"/>
      <c r="AR32" s="151"/>
      <c r="AS32" s="163">
        <f>AS19+AS20+AS21+AS22+AS23+AS24+AS25+AS26+AS27+AS28+AS30+AS29+AS31</f>
        <v>88500</v>
      </c>
      <c r="AT32" s="150"/>
      <c r="AU32" s="150"/>
      <c r="AV32" s="150"/>
      <c r="AW32" s="151"/>
      <c r="AX32" s="163">
        <f>AX19+AX20+AX21+AX22+AX23+AX24+AX25+AX26+AX27+AX28+AX30+AX29+AX31</f>
        <v>113250</v>
      </c>
      <c r="AY32" s="150"/>
      <c r="AZ32" s="150"/>
      <c r="BA32" s="151"/>
      <c r="BB32" s="163">
        <f>BB19+BB20+BB21+BB22+BB23+BB24+BB25+BB26+BB27+BB28+BB30+BB29+BB31</f>
        <v>43500</v>
      </c>
      <c r="BC32" s="150"/>
      <c r="BD32" s="150"/>
      <c r="BE32" s="151"/>
      <c r="BF32" s="32"/>
      <c r="BG32" s="33">
        <f t="shared" si="2"/>
        <v>1223186.08</v>
      </c>
      <c r="BH32" s="48">
        <f>BG32/BG40</f>
        <v>0.38296812894946641</v>
      </c>
      <c r="BI32" s="52"/>
      <c r="BJ32" s="33">
        <f>BJ19+BJ23+BJ24+BJ26+BJ27+BJ28+BJ30+BJ31</f>
        <v>1223406.6800000002</v>
      </c>
      <c r="BK32" s="34">
        <f>BK19+BK23+BK24+BK26+BK27+BK28+BK30+BK31</f>
        <v>0.35423762285020144</v>
      </c>
      <c r="BL32" s="35"/>
      <c r="BM32" s="35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Y32" s="41" t="s">
        <v>64</v>
      </c>
      <c r="BZ32" s="163">
        <f>BZ31+BZ30+BZ28+BZ27+BZ26+BZ24+BZ23+BZ19+BZ29+BZ22+BZ25+BZ20+BZ21</f>
        <v>59498.1</v>
      </c>
      <c r="CA32" s="150"/>
      <c r="CB32" s="150"/>
      <c r="CC32" s="151"/>
      <c r="CD32" s="163">
        <f>CD31+CD30+CD28+CD27+CD26+CD24+CD23+CD19+CD29+CD22+CD25+CD20+CD21</f>
        <v>53763.23</v>
      </c>
      <c r="CE32" s="150"/>
      <c r="CF32" s="150"/>
      <c r="CG32" s="151"/>
      <c r="CH32" s="163">
        <f>CH31+CH30+CH28+CH27+CH26+CH24+CH23+CH19+CH29+CH22+CH25+CH20+CH21</f>
        <v>66768.22</v>
      </c>
      <c r="CI32" s="150"/>
      <c r="CJ32" s="150"/>
      <c r="CK32" s="150"/>
      <c r="CL32" s="151"/>
      <c r="CM32" s="163">
        <f>CM31+CM30+CM28+CM27+CM26+CM24+CM23+CM19+CM29+CM22+CM25+CM20+CM21</f>
        <v>72188.72</v>
      </c>
      <c r="CN32" s="150"/>
      <c r="CO32" s="150"/>
      <c r="CP32" s="150"/>
      <c r="CQ32" s="151"/>
      <c r="CR32" s="163">
        <f>CR31+CR30+CR28+CR27+CR26+CR24+CR23+CR19+CR29+CR22+CR25+CR20+CR21</f>
        <v>117805.48000000001</v>
      </c>
      <c r="CS32" s="150"/>
      <c r="CT32" s="150"/>
      <c r="CU32" s="151"/>
      <c r="CV32" s="163">
        <f>CV31+CV30+CV28+CV27+CV26+CV24+CV23+CV19+CV29+CV22+CV25+CV20+CV21</f>
        <v>203431.2</v>
      </c>
      <c r="CW32" s="150"/>
      <c r="CX32" s="150"/>
      <c r="CY32" s="151"/>
      <c r="CZ32" s="163">
        <f>CZ31+CZ30+CZ28+CZ27+CZ26+CZ24+CZ23+CZ19+CZ29+CZ22+CZ25+CZ20+CZ21</f>
        <v>163885.35</v>
      </c>
      <c r="DA32" s="150"/>
      <c r="DB32" s="150"/>
      <c r="DC32" s="150"/>
      <c r="DD32" s="151"/>
      <c r="DE32" s="163">
        <f>DE31+DE30+DE28+DE27+DE26+DE24+DE23+DE19+DE29+DE22+DE25+DE20+DE21</f>
        <v>111227.18</v>
      </c>
      <c r="DF32" s="150"/>
      <c r="DG32" s="150"/>
      <c r="DH32" s="151"/>
      <c r="DI32" s="92">
        <f>DI19+DI20+DI21+DI22+DI23+DI24+DI25+DI26+DI27+DI28+DI29+DI30+DI31</f>
        <v>146932.85</v>
      </c>
      <c r="DJ32" s="93"/>
      <c r="DK32" s="93"/>
      <c r="DL32" s="93"/>
      <c r="DM32" s="94"/>
      <c r="DN32" s="92">
        <f>DN19+DN20+DN21+DN22+DN23+DN24+DN25+DN26+DN27+DN28+DN29+DN30+DN31</f>
        <v>77341.48</v>
      </c>
      <c r="DO32" s="93"/>
      <c r="DP32" s="93"/>
      <c r="DQ32" s="93"/>
      <c r="DR32" s="94"/>
      <c r="DS32" s="170">
        <f>DS19+DS20+DS21+DS22+DS23+DS24+DS25+DS27++DS28+DS29+DS30+DS31+DS26</f>
        <v>103000</v>
      </c>
      <c r="DT32" s="159"/>
      <c r="DU32" s="159"/>
      <c r="DV32" s="160"/>
      <c r="DW32" s="170">
        <f>DW19+DW20+DW21+DW22+DW23+DW24+DW25+DW26+DW27+DW28</f>
        <v>29650</v>
      </c>
      <c r="DX32" s="159"/>
      <c r="DY32" s="159"/>
      <c r="DZ32" s="160"/>
      <c r="EA32" s="32"/>
      <c r="EB32" s="33">
        <f>SUM(BZ32:DZ32)</f>
        <v>1205491.81</v>
      </c>
      <c r="EC32" s="48">
        <f>EB32/EB40</f>
        <v>0.36671474500497214</v>
      </c>
      <c r="ED32" s="52"/>
      <c r="EE32" s="33">
        <f>EE19+EE23+EE24+EE26+EE27+EE28+EE30+EE31+EE20+EE21+EE22</f>
        <v>-17694.270000000033</v>
      </c>
      <c r="EF32" s="34">
        <f>EF19+EF23+EF24+EF26+EF27+EF28+EF30+EF31</f>
        <v>-0.36003012612056723</v>
      </c>
    </row>
    <row r="33" spans="1:136" ht="14.1" thickBot="1">
      <c r="A33" s="53"/>
      <c r="B33" s="53"/>
      <c r="C33" s="53"/>
      <c r="D33" s="53"/>
      <c r="E33" s="54"/>
      <c r="I33" s="16"/>
      <c r="J33" s="16"/>
      <c r="K33" s="16"/>
      <c r="L33" s="16"/>
      <c r="BG33" s="44">
        <f>BG32+505000</f>
        <v>1728186.08</v>
      </c>
      <c r="BH33" s="45">
        <f>BG33/BG44</f>
        <v>0.46720824834825603</v>
      </c>
      <c r="BI33" s="52"/>
      <c r="BJ33" s="52"/>
      <c r="BK33" s="52"/>
      <c r="BL33" s="52"/>
      <c r="BM33" s="5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Y33" s="53"/>
      <c r="BZ33" s="54"/>
      <c r="CD33" s="16"/>
      <c r="CE33" s="16"/>
      <c r="CF33" s="16"/>
      <c r="CG33" s="16"/>
      <c r="DS33" s="85"/>
      <c r="DT33" s="85"/>
      <c r="DU33" s="85"/>
      <c r="DV33" s="85"/>
      <c r="DW33" s="85"/>
      <c r="DX33" s="85"/>
      <c r="DY33" s="85"/>
      <c r="DZ33" s="85"/>
      <c r="EB33" s="44">
        <f>EB32+505000</f>
        <v>1710491.81</v>
      </c>
      <c r="EC33" s="45">
        <f>EB33/EB44</f>
        <v>0.45104648427425043</v>
      </c>
      <c r="ED33" s="52"/>
      <c r="EE33" s="52"/>
      <c r="EF33" s="52"/>
    </row>
    <row r="34" spans="1:136" ht="12.95">
      <c r="A34" s="53"/>
      <c r="B34" s="53"/>
      <c r="C34" s="53"/>
      <c r="D34" s="104" t="s">
        <v>65</v>
      </c>
      <c r="E34" s="54"/>
      <c r="I34" s="16"/>
      <c r="J34" s="16"/>
      <c r="K34" s="16"/>
      <c r="L34" s="16"/>
      <c r="BH34" s="52"/>
      <c r="BI34" s="52"/>
      <c r="BJ34" s="52"/>
      <c r="BK34" s="52"/>
      <c r="BL34" s="52"/>
      <c r="BM34" s="5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Y34" s="104" t="s">
        <v>65</v>
      </c>
      <c r="BZ34" s="54"/>
      <c r="CD34" s="16"/>
      <c r="CE34" s="16"/>
      <c r="CF34" s="16"/>
      <c r="CG34" s="16"/>
      <c r="DS34" s="85"/>
      <c r="DT34" s="85"/>
      <c r="DU34" s="85"/>
      <c r="DV34" s="85"/>
      <c r="DW34" s="85"/>
      <c r="DX34" s="85"/>
      <c r="DY34" s="85"/>
      <c r="DZ34" s="85"/>
      <c r="EC34" s="52"/>
      <c r="ED34" s="52"/>
      <c r="EE34" s="52"/>
      <c r="EF34" s="52"/>
    </row>
    <row r="35" spans="1:136" ht="14.1" thickBot="1">
      <c r="A35" s="53"/>
      <c r="B35" s="53"/>
      <c r="C35" s="53"/>
      <c r="D35" s="156"/>
      <c r="E35" s="54"/>
      <c r="I35" s="16"/>
      <c r="J35" s="16"/>
      <c r="K35" s="16"/>
      <c r="L35" s="16"/>
      <c r="BH35" s="52"/>
      <c r="BI35" s="52"/>
      <c r="BJ35" s="52"/>
      <c r="BK35" s="52"/>
      <c r="BL35" s="52"/>
      <c r="BM35" s="5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Y35" s="156"/>
      <c r="BZ35" s="54"/>
      <c r="CD35" s="16"/>
      <c r="CE35" s="16"/>
      <c r="CF35" s="16"/>
      <c r="CG35" s="16"/>
      <c r="DS35" s="85"/>
      <c r="DT35" s="85"/>
      <c r="DU35" s="85"/>
      <c r="DV35" s="85"/>
      <c r="DW35" s="85"/>
      <c r="DX35" s="85"/>
      <c r="DY35" s="85"/>
      <c r="DZ35" s="85"/>
      <c r="EC35" s="52"/>
      <c r="ED35" s="52"/>
      <c r="EE35" s="52"/>
      <c r="EF35" s="52"/>
    </row>
    <row r="36" spans="1:136" ht="15" thickBot="1">
      <c r="A36" s="53"/>
      <c r="B36" s="53"/>
      <c r="C36" s="53"/>
      <c r="D36" s="31" t="s">
        <v>66</v>
      </c>
      <c r="E36" s="157">
        <v>0</v>
      </c>
      <c r="F36" s="150"/>
      <c r="G36" s="150"/>
      <c r="H36" s="151"/>
      <c r="I36" s="157">
        <v>0</v>
      </c>
      <c r="J36" s="150"/>
      <c r="K36" s="150"/>
      <c r="L36" s="151"/>
      <c r="M36" s="157">
        <v>0</v>
      </c>
      <c r="N36" s="150"/>
      <c r="O36" s="150"/>
      <c r="P36" s="150"/>
      <c r="Q36" s="151"/>
      <c r="R36" s="157">
        <v>0</v>
      </c>
      <c r="S36" s="150"/>
      <c r="T36" s="150"/>
      <c r="U36" s="150"/>
      <c r="V36" s="151"/>
      <c r="W36" s="162">
        <v>0</v>
      </c>
      <c r="X36" s="150"/>
      <c r="Y36" s="150"/>
      <c r="Z36" s="151"/>
      <c r="AA36" s="157">
        <v>0</v>
      </c>
      <c r="AB36" s="150"/>
      <c r="AC36" s="150"/>
      <c r="AD36" s="151"/>
      <c r="AE36" s="157">
        <v>0</v>
      </c>
      <c r="AF36" s="150"/>
      <c r="AG36" s="150"/>
      <c r="AH36" s="150"/>
      <c r="AI36" s="151"/>
      <c r="AJ36" s="157">
        <v>0</v>
      </c>
      <c r="AK36" s="150"/>
      <c r="AL36" s="150"/>
      <c r="AM36" s="151"/>
      <c r="AN36" s="88">
        <v>0</v>
      </c>
      <c r="AO36" s="157">
        <v>0</v>
      </c>
      <c r="AP36" s="150"/>
      <c r="AQ36" s="150"/>
      <c r="AR36" s="151"/>
      <c r="AS36" s="157">
        <v>0</v>
      </c>
      <c r="AT36" s="150"/>
      <c r="AU36" s="150"/>
      <c r="AV36" s="150"/>
      <c r="AW36" s="151"/>
      <c r="AX36" s="157">
        <v>0</v>
      </c>
      <c r="AY36" s="150"/>
      <c r="AZ36" s="150"/>
      <c r="BA36" s="151"/>
      <c r="BB36" s="157">
        <v>0</v>
      </c>
      <c r="BC36" s="150"/>
      <c r="BD36" s="150"/>
      <c r="BE36" s="151"/>
      <c r="BF36" s="27"/>
      <c r="BG36" s="33">
        <f t="shared" ref="BG36:BG38" si="6">SUM(E36:BE36)</f>
        <v>0</v>
      </c>
      <c r="BH36" s="48">
        <f>BG36/BG40</f>
        <v>0</v>
      </c>
      <c r="BI36" s="27"/>
      <c r="BJ36" s="27"/>
      <c r="BK36" s="27"/>
      <c r="BL36" s="52"/>
      <c r="BM36" s="5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Y36" s="31" t="s">
        <v>66</v>
      </c>
      <c r="BZ36" s="157">
        <v>0</v>
      </c>
      <c r="CA36" s="150"/>
      <c r="CB36" s="150"/>
      <c r="CC36" s="151"/>
      <c r="CD36" s="157">
        <v>0</v>
      </c>
      <c r="CE36" s="150"/>
      <c r="CF36" s="150"/>
      <c r="CG36" s="151"/>
      <c r="CH36" s="157">
        <v>0</v>
      </c>
      <c r="CI36" s="150"/>
      <c r="CJ36" s="150"/>
      <c r="CK36" s="150"/>
      <c r="CL36" s="151"/>
      <c r="CM36" s="157">
        <v>0</v>
      </c>
      <c r="CN36" s="150"/>
      <c r="CO36" s="150"/>
      <c r="CP36" s="150"/>
      <c r="CQ36" s="151"/>
      <c r="CR36" s="162">
        <v>0</v>
      </c>
      <c r="CS36" s="150"/>
      <c r="CT36" s="150"/>
      <c r="CU36" s="151"/>
      <c r="CV36" s="157">
        <v>0</v>
      </c>
      <c r="CW36" s="150"/>
      <c r="CX36" s="150"/>
      <c r="CY36" s="151"/>
      <c r="CZ36" s="157">
        <v>15000</v>
      </c>
      <c r="DA36" s="150"/>
      <c r="DB36" s="150"/>
      <c r="DC36" s="150"/>
      <c r="DD36" s="151"/>
      <c r="DE36" s="157">
        <v>0</v>
      </c>
      <c r="DF36" s="150"/>
      <c r="DG36" s="150"/>
      <c r="DH36" s="151"/>
      <c r="DI36" s="89"/>
      <c r="DJ36" s="90"/>
      <c r="DK36" s="90"/>
      <c r="DL36" s="90"/>
      <c r="DM36" s="91"/>
      <c r="DN36" s="157"/>
      <c r="DO36" s="150"/>
      <c r="DP36" s="150"/>
      <c r="DQ36" s="150"/>
      <c r="DR36" s="151"/>
      <c r="DS36" s="158"/>
      <c r="DT36" s="159"/>
      <c r="DU36" s="159"/>
      <c r="DV36" s="160"/>
      <c r="DW36" s="158"/>
      <c r="DX36" s="159"/>
      <c r="DY36" s="159"/>
      <c r="DZ36" s="160"/>
      <c r="EA36" s="27"/>
      <c r="EB36" s="33">
        <f t="shared" ref="EB36:EB38" si="7">SUM(BZ36:DZ36)</f>
        <v>15000</v>
      </c>
      <c r="EC36" s="48">
        <f>EB36/EB40</f>
        <v>4.5630514694866174E-3</v>
      </c>
      <c r="ED36" s="27"/>
      <c r="EE36" s="27"/>
      <c r="EF36" s="27"/>
    </row>
    <row r="37" spans="1:136" ht="15" thickBot="1">
      <c r="A37" s="53"/>
      <c r="B37" s="53"/>
      <c r="C37" s="53"/>
      <c r="D37" s="31" t="s">
        <v>67</v>
      </c>
      <c r="E37" s="157">
        <v>0</v>
      </c>
      <c r="F37" s="150"/>
      <c r="G37" s="150"/>
      <c r="H37" s="151"/>
      <c r="I37" s="157">
        <v>0</v>
      </c>
      <c r="J37" s="150"/>
      <c r="K37" s="150"/>
      <c r="L37" s="151"/>
      <c r="M37" s="157">
        <v>0</v>
      </c>
      <c r="N37" s="150"/>
      <c r="O37" s="150"/>
      <c r="P37" s="150"/>
      <c r="Q37" s="151"/>
      <c r="R37" s="157">
        <v>0</v>
      </c>
      <c r="S37" s="150"/>
      <c r="T37" s="150"/>
      <c r="U37" s="150"/>
      <c r="V37" s="151"/>
      <c r="W37" s="157">
        <v>0</v>
      </c>
      <c r="X37" s="150"/>
      <c r="Y37" s="150"/>
      <c r="Z37" s="151"/>
      <c r="AA37" s="157">
        <v>0</v>
      </c>
      <c r="AB37" s="150"/>
      <c r="AC37" s="150"/>
      <c r="AD37" s="151"/>
      <c r="AE37" s="157">
        <v>0</v>
      </c>
      <c r="AF37" s="150"/>
      <c r="AG37" s="150"/>
      <c r="AH37" s="150"/>
      <c r="AI37" s="151"/>
      <c r="AJ37" s="157">
        <v>0</v>
      </c>
      <c r="AK37" s="150"/>
      <c r="AL37" s="150"/>
      <c r="AM37" s="151"/>
      <c r="AN37" s="88">
        <v>0</v>
      </c>
      <c r="AO37" s="157">
        <v>0</v>
      </c>
      <c r="AP37" s="150"/>
      <c r="AQ37" s="150"/>
      <c r="AR37" s="151"/>
      <c r="AS37" s="157">
        <v>0</v>
      </c>
      <c r="AT37" s="150"/>
      <c r="AU37" s="150"/>
      <c r="AV37" s="150"/>
      <c r="AW37" s="151"/>
      <c r="AX37" s="157">
        <v>0</v>
      </c>
      <c r="AY37" s="150"/>
      <c r="AZ37" s="150"/>
      <c r="BA37" s="151"/>
      <c r="BB37" s="157">
        <v>0</v>
      </c>
      <c r="BC37" s="150"/>
      <c r="BD37" s="150"/>
      <c r="BE37" s="151"/>
      <c r="BF37" s="27"/>
      <c r="BG37" s="33">
        <f t="shared" si="6"/>
        <v>0</v>
      </c>
      <c r="BH37" s="48">
        <f>BG37/BG40</f>
        <v>0</v>
      </c>
      <c r="BI37" s="27"/>
      <c r="BJ37" s="27"/>
      <c r="BK37" s="27"/>
      <c r="BL37" s="52"/>
      <c r="BM37" s="5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Y37" s="31" t="s">
        <v>67</v>
      </c>
      <c r="BZ37" s="157">
        <v>0</v>
      </c>
      <c r="CA37" s="150"/>
      <c r="CB37" s="150"/>
      <c r="CC37" s="151"/>
      <c r="CD37" s="157">
        <v>0</v>
      </c>
      <c r="CE37" s="150"/>
      <c r="CF37" s="150"/>
      <c r="CG37" s="151"/>
      <c r="CH37" s="157">
        <v>0</v>
      </c>
      <c r="CI37" s="150"/>
      <c r="CJ37" s="150"/>
      <c r="CK37" s="150"/>
      <c r="CL37" s="151"/>
      <c r="CM37" s="157">
        <v>0</v>
      </c>
      <c r="CN37" s="150"/>
      <c r="CO37" s="150"/>
      <c r="CP37" s="150"/>
      <c r="CQ37" s="151"/>
      <c r="CR37" s="157">
        <v>0</v>
      </c>
      <c r="CS37" s="150"/>
      <c r="CT37" s="150"/>
      <c r="CU37" s="151"/>
      <c r="CV37" s="157">
        <v>0</v>
      </c>
      <c r="CW37" s="150"/>
      <c r="CX37" s="150"/>
      <c r="CY37" s="151"/>
      <c r="CZ37" s="157"/>
      <c r="DA37" s="150"/>
      <c r="DB37" s="150"/>
      <c r="DC37" s="150"/>
      <c r="DD37" s="151"/>
      <c r="DE37" s="157">
        <v>0</v>
      </c>
      <c r="DF37" s="150"/>
      <c r="DG37" s="150"/>
      <c r="DH37" s="151"/>
      <c r="DI37" s="89"/>
      <c r="DJ37" s="90"/>
      <c r="DK37" s="90"/>
      <c r="DL37" s="90"/>
      <c r="DM37" s="91"/>
      <c r="DN37" s="157"/>
      <c r="DO37" s="150"/>
      <c r="DP37" s="150"/>
      <c r="DQ37" s="150"/>
      <c r="DR37" s="151"/>
      <c r="DS37" s="158"/>
      <c r="DT37" s="159"/>
      <c r="DU37" s="159"/>
      <c r="DV37" s="160"/>
      <c r="DW37" s="158"/>
      <c r="DX37" s="159"/>
      <c r="DY37" s="159"/>
      <c r="DZ37" s="160"/>
      <c r="EA37" s="27"/>
      <c r="EB37" s="33">
        <f t="shared" si="7"/>
        <v>0</v>
      </c>
      <c r="EC37" s="48">
        <f>EB37/EB40</f>
        <v>0</v>
      </c>
      <c r="ED37" s="27"/>
      <c r="EE37" s="27"/>
      <c r="EF37" s="27"/>
    </row>
    <row r="38" spans="1:136" ht="14.1" thickBot="1">
      <c r="A38" s="53"/>
      <c r="B38" s="53"/>
      <c r="C38" s="53"/>
      <c r="D38" s="53"/>
      <c r="E38" s="163">
        <f>E36+E37</f>
        <v>0</v>
      </c>
      <c r="F38" s="150"/>
      <c r="G38" s="150"/>
      <c r="H38" s="151"/>
      <c r="I38" s="163">
        <f>I36+I37</f>
        <v>0</v>
      </c>
      <c r="J38" s="150"/>
      <c r="K38" s="150"/>
      <c r="L38" s="151"/>
      <c r="M38" s="163">
        <f>M36+M37</f>
        <v>0</v>
      </c>
      <c r="N38" s="150"/>
      <c r="O38" s="150"/>
      <c r="P38" s="150"/>
      <c r="Q38" s="151"/>
      <c r="R38" s="163">
        <f>R36+R37</f>
        <v>0</v>
      </c>
      <c r="S38" s="150"/>
      <c r="T38" s="150"/>
      <c r="U38" s="150"/>
      <c r="V38" s="151"/>
      <c r="W38" s="163">
        <f>W36+W37</f>
        <v>0</v>
      </c>
      <c r="X38" s="150"/>
      <c r="Y38" s="150"/>
      <c r="Z38" s="151"/>
      <c r="AA38" s="163">
        <f>AA36+AA37</f>
        <v>0</v>
      </c>
      <c r="AB38" s="150"/>
      <c r="AC38" s="150"/>
      <c r="AD38" s="151"/>
      <c r="AE38" s="163">
        <f>AE36+AE37</f>
        <v>0</v>
      </c>
      <c r="AF38" s="150"/>
      <c r="AG38" s="150"/>
      <c r="AH38" s="150"/>
      <c r="AI38" s="151"/>
      <c r="AJ38" s="163">
        <f>AJ36+AJ37</f>
        <v>0</v>
      </c>
      <c r="AK38" s="150"/>
      <c r="AL38" s="150"/>
      <c r="AM38" s="151"/>
      <c r="AN38" s="51">
        <f t="shared" ref="AN38:AO38" si="8">AN36+AN37</f>
        <v>0</v>
      </c>
      <c r="AO38" s="163">
        <f t="shared" si="8"/>
        <v>0</v>
      </c>
      <c r="AP38" s="150"/>
      <c r="AQ38" s="150"/>
      <c r="AR38" s="151"/>
      <c r="AS38" s="163">
        <f>AS36+AS37</f>
        <v>0</v>
      </c>
      <c r="AT38" s="150"/>
      <c r="AU38" s="150"/>
      <c r="AV38" s="150"/>
      <c r="AW38" s="151"/>
      <c r="AX38" s="163">
        <f>AX36+AX37</f>
        <v>0</v>
      </c>
      <c r="AY38" s="150"/>
      <c r="AZ38" s="150"/>
      <c r="BA38" s="151"/>
      <c r="BB38" s="163">
        <f>BB36+BB37</f>
        <v>0</v>
      </c>
      <c r="BC38" s="150"/>
      <c r="BD38" s="150"/>
      <c r="BE38" s="151"/>
      <c r="BF38" s="27"/>
      <c r="BG38" s="33">
        <f t="shared" si="6"/>
        <v>0</v>
      </c>
      <c r="BH38" s="34">
        <f>BG38/BG40</f>
        <v>0</v>
      </c>
      <c r="BI38" s="27"/>
      <c r="BJ38" s="27"/>
      <c r="BK38" s="27"/>
      <c r="BL38" s="52"/>
      <c r="BM38" s="52"/>
      <c r="BN38" s="142"/>
      <c r="BO38" s="142"/>
      <c r="BP38" s="142"/>
      <c r="BQ38" s="142"/>
      <c r="BR38" s="142"/>
      <c r="BS38" s="142"/>
      <c r="BT38" s="142"/>
      <c r="BU38" s="142"/>
      <c r="BV38" s="142"/>
      <c r="BW38" s="142"/>
      <c r="BY38" s="53"/>
      <c r="BZ38" s="163">
        <f>BZ36+BZ37</f>
        <v>0</v>
      </c>
      <c r="CA38" s="150"/>
      <c r="CB38" s="150"/>
      <c r="CC38" s="151"/>
      <c r="CD38" s="163">
        <f>CD36+CD37</f>
        <v>0</v>
      </c>
      <c r="CE38" s="150"/>
      <c r="CF38" s="150"/>
      <c r="CG38" s="151"/>
      <c r="CH38" s="163">
        <f>CH36+CH37</f>
        <v>0</v>
      </c>
      <c r="CI38" s="150"/>
      <c r="CJ38" s="150"/>
      <c r="CK38" s="150"/>
      <c r="CL38" s="151"/>
      <c r="CM38" s="163">
        <f>CM36+CM37</f>
        <v>0</v>
      </c>
      <c r="CN38" s="150"/>
      <c r="CO38" s="150"/>
      <c r="CP38" s="150"/>
      <c r="CQ38" s="151"/>
      <c r="CR38" s="163">
        <f>CR36+CR37</f>
        <v>0</v>
      </c>
      <c r="CS38" s="150"/>
      <c r="CT38" s="150"/>
      <c r="CU38" s="151"/>
      <c r="CV38" s="163">
        <f>CV36+CV37</f>
        <v>0</v>
      </c>
      <c r="CW38" s="150"/>
      <c r="CX38" s="150"/>
      <c r="CY38" s="151"/>
      <c r="CZ38" s="163">
        <f>CZ36+CZ37</f>
        <v>15000</v>
      </c>
      <c r="DA38" s="150"/>
      <c r="DB38" s="150"/>
      <c r="DC38" s="150"/>
      <c r="DD38" s="151"/>
      <c r="DE38" s="163">
        <v>0</v>
      </c>
      <c r="DF38" s="150"/>
      <c r="DG38" s="150"/>
      <c r="DH38" s="151"/>
      <c r="DI38" s="92"/>
      <c r="DJ38" s="93"/>
      <c r="DK38" s="93"/>
      <c r="DL38" s="93"/>
      <c r="DM38" s="94"/>
      <c r="DN38" s="163"/>
      <c r="DO38" s="150"/>
      <c r="DP38" s="150"/>
      <c r="DQ38" s="150"/>
      <c r="DR38" s="151"/>
      <c r="DS38" s="170"/>
      <c r="DT38" s="159"/>
      <c r="DU38" s="159"/>
      <c r="DV38" s="160"/>
      <c r="DW38" s="170"/>
      <c r="DX38" s="159"/>
      <c r="DY38" s="159"/>
      <c r="DZ38" s="160"/>
      <c r="EA38" s="27"/>
      <c r="EB38" s="33">
        <f t="shared" si="7"/>
        <v>15000</v>
      </c>
      <c r="EC38" s="34">
        <f>EB38/EB40</f>
        <v>4.5630514694866174E-3</v>
      </c>
      <c r="ED38" s="27"/>
      <c r="EE38" s="27"/>
      <c r="EF38" s="27"/>
    </row>
    <row r="39" spans="1:136" ht="14.1" thickBot="1">
      <c r="A39" s="53"/>
      <c r="B39" s="53"/>
      <c r="C39" s="53"/>
      <c r="D39" s="53"/>
      <c r="E39" s="54"/>
      <c r="I39" s="171"/>
      <c r="J39" s="149"/>
      <c r="K39" s="149"/>
      <c r="L39" s="149"/>
      <c r="M39" s="149"/>
      <c r="N39" s="149"/>
      <c r="O39" s="149"/>
      <c r="P39" s="149"/>
      <c r="Q39" s="149"/>
      <c r="BG39" s="55">
        <f>BG38</f>
        <v>0</v>
      </c>
      <c r="BH39" s="45">
        <f>BG39/BG44</f>
        <v>0</v>
      </c>
      <c r="BI39" s="52"/>
      <c r="BJ39" s="52"/>
      <c r="BK39" s="52"/>
      <c r="BL39" s="52"/>
      <c r="BM39" s="5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Y39" s="53"/>
      <c r="BZ39" s="54"/>
      <c r="CD39" s="171"/>
      <c r="CE39" s="149"/>
      <c r="CF39" s="149"/>
      <c r="CG39" s="149"/>
      <c r="CH39" s="149"/>
      <c r="CI39" s="149"/>
      <c r="CJ39" s="149"/>
      <c r="CK39" s="149"/>
      <c r="CL39" s="149"/>
      <c r="DS39" s="85"/>
      <c r="DT39" s="85"/>
      <c r="DU39" s="85"/>
      <c r="DV39" s="85"/>
      <c r="DW39" s="85"/>
      <c r="DX39" s="85"/>
      <c r="DY39" s="85"/>
      <c r="DZ39" s="85"/>
      <c r="EB39" s="55">
        <f>EB38</f>
        <v>15000</v>
      </c>
      <c r="EC39" s="45">
        <f>EB39/EB44</f>
        <v>3.9554104992258077E-3</v>
      </c>
      <c r="ED39" s="52"/>
      <c r="EE39" s="52"/>
      <c r="EF39" s="52"/>
    </row>
    <row r="40" spans="1:136" ht="32.25" customHeight="1" thickBot="1">
      <c r="A40" s="40"/>
      <c r="B40" s="40"/>
      <c r="C40" s="40"/>
      <c r="D40" s="41" t="s">
        <v>68</v>
      </c>
      <c r="E40" s="163">
        <f>E32+E15+E38</f>
        <v>64465.58</v>
      </c>
      <c r="F40" s="150"/>
      <c r="G40" s="150"/>
      <c r="H40" s="151"/>
      <c r="I40" s="163">
        <f>I32+I15+I38</f>
        <v>47350</v>
      </c>
      <c r="J40" s="150"/>
      <c r="K40" s="150"/>
      <c r="L40" s="151"/>
      <c r="M40" s="163">
        <f>M32+M15+M38</f>
        <v>134150</v>
      </c>
      <c r="N40" s="150"/>
      <c r="O40" s="150"/>
      <c r="P40" s="150"/>
      <c r="Q40" s="151"/>
      <c r="R40" s="163">
        <f>R32+R15+R38</f>
        <v>191577.84</v>
      </c>
      <c r="S40" s="150"/>
      <c r="T40" s="150"/>
      <c r="U40" s="150"/>
      <c r="V40" s="151"/>
      <c r="W40" s="163">
        <f>W32+W15+W38</f>
        <v>401896</v>
      </c>
      <c r="X40" s="150"/>
      <c r="Y40" s="150"/>
      <c r="Z40" s="151"/>
      <c r="AA40" s="163">
        <f>AA32+AA15+AA38</f>
        <v>617563.51</v>
      </c>
      <c r="AB40" s="150"/>
      <c r="AC40" s="150"/>
      <c r="AD40" s="151"/>
      <c r="AE40" s="163">
        <f>AE32+AE15+AE38</f>
        <v>546846.92000000004</v>
      </c>
      <c r="AF40" s="150"/>
      <c r="AG40" s="150"/>
      <c r="AH40" s="150"/>
      <c r="AI40" s="151"/>
      <c r="AJ40" s="163">
        <f>AJ32+AJ15+AJ38</f>
        <v>246113.52</v>
      </c>
      <c r="AK40" s="150"/>
      <c r="AL40" s="150"/>
      <c r="AM40" s="151"/>
      <c r="AN40" s="51">
        <f>AN32+AN15+AN38</f>
        <v>112800</v>
      </c>
      <c r="AO40" s="163">
        <f>AO32+AO15+AO38</f>
        <v>316914.01</v>
      </c>
      <c r="AP40" s="150"/>
      <c r="AQ40" s="150"/>
      <c r="AR40" s="151"/>
      <c r="AS40" s="163">
        <f>AS32+AS15+AS38</f>
        <v>156404.64000000001</v>
      </c>
      <c r="AT40" s="150"/>
      <c r="AU40" s="150"/>
      <c r="AV40" s="150"/>
      <c r="AW40" s="151"/>
      <c r="AX40" s="163">
        <f>AX32+AX15+AX38</f>
        <v>253250</v>
      </c>
      <c r="AY40" s="150"/>
      <c r="AZ40" s="150"/>
      <c r="BA40" s="151"/>
      <c r="BB40" s="163">
        <f>BB32+BB15+BB38</f>
        <v>104631.1</v>
      </c>
      <c r="BC40" s="150"/>
      <c r="BD40" s="150"/>
      <c r="BE40" s="151"/>
      <c r="BF40" s="32"/>
      <c r="BG40" s="33">
        <f t="shared" ref="BG40:BG42" si="9">SUM(E40:BE40)</f>
        <v>3193963.12</v>
      </c>
      <c r="BH40" s="52"/>
      <c r="BI40" s="52"/>
      <c r="BJ40" s="56">
        <f>BJ32+BJ15</f>
        <v>3453632.8190000001</v>
      </c>
      <c r="BK40" s="34"/>
      <c r="BL40" s="35"/>
      <c r="BM40" s="35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Y40" s="41" t="s">
        <v>68</v>
      </c>
      <c r="BZ40" s="163">
        <f>BZ32+BZ15+BZ38</f>
        <v>63909.599999999999</v>
      </c>
      <c r="CA40" s="150"/>
      <c r="CB40" s="150"/>
      <c r="CC40" s="151"/>
      <c r="CD40" s="163">
        <f>CD32+CD15+CD38</f>
        <v>53763.23</v>
      </c>
      <c r="CE40" s="150"/>
      <c r="CF40" s="150"/>
      <c r="CG40" s="151"/>
      <c r="CH40" s="163">
        <f>CH32+CH15+CH38</f>
        <v>135176.25</v>
      </c>
      <c r="CI40" s="150"/>
      <c r="CJ40" s="150"/>
      <c r="CK40" s="150"/>
      <c r="CL40" s="151"/>
      <c r="CM40" s="163">
        <f>CM32+CM15+CM38</f>
        <v>164045.19</v>
      </c>
      <c r="CN40" s="150"/>
      <c r="CO40" s="150"/>
      <c r="CP40" s="150"/>
      <c r="CQ40" s="151"/>
      <c r="CR40" s="163">
        <f>CR32+CR15+CR38</f>
        <v>469734.43000000005</v>
      </c>
      <c r="CS40" s="150"/>
      <c r="CT40" s="150"/>
      <c r="CU40" s="151"/>
      <c r="CV40" s="163">
        <f>CV32+CV15+CV38</f>
        <v>617374.43999999994</v>
      </c>
      <c r="CW40" s="150"/>
      <c r="CX40" s="150"/>
      <c r="CY40" s="151"/>
      <c r="CZ40" s="163">
        <f>CZ32+CZ15+CZ38</f>
        <v>533956.03</v>
      </c>
      <c r="DA40" s="150"/>
      <c r="DB40" s="150"/>
      <c r="DC40" s="150"/>
      <c r="DD40" s="151"/>
      <c r="DE40" s="163">
        <f>DE32+DE15+DE38</f>
        <v>289014.75</v>
      </c>
      <c r="DF40" s="150"/>
      <c r="DG40" s="150"/>
      <c r="DH40" s="151"/>
      <c r="DI40" s="92">
        <f>DI38+DI32+DI15</f>
        <v>452343.54999999993</v>
      </c>
      <c r="DJ40" s="93"/>
      <c r="DK40" s="93"/>
      <c r="DL40" s="93"/>
      <c r="DM40" s="94"/>
      <c r="DN40" s="163">
        <f>DN32+DN15+DN38</f>
        <v>164196.54999999999</v>
      </c>
      <c r="DO40" s="150"/>
      <c r="DP40" s="150"/>
      <c r="DQ40" s="150"/>
      <c r="DR40" s="151"/>
      <c r="DS40" s="170">
        <f>DS32+DS15+DS38</f>
        <v>253127.34000000003</v>
      </c>
      <c r="DT40" s="159"/>
      <c r="DU40" s="159"/>
      <c r="DV40" s="160"/>
      <c r="DW40" s="170">
        <f>DW32+DW15+DW38</f>
        <v>90632.540000000008</v>
      </c>
      <c r="DX40" s="159"/>
      <c r="DY40" s="159"/>
      <c r="DZ40" s="160"/>
      <c r="EA40" s="32"/>
      <c r="EB40" s="33">
        <f>SUM(BZ40:DZ40)</f>
        <v>3287273.8999999994</v>
      </c>
      <c r="EC40" s="52"/>
      <c r="ED40" s="52"/>
      <c r="EE40" s="56">
        <f>EE32+EE15</f>
        <v>78310.780000000101</v>
      </c>
      <c r="EF40" s="34"/>
    </row>
    <row r="41" spans="1:136" ht="18.95" thickBot="1">
      <c r="A41" s="16"/>
      <c r="B41" s="16"/>
      <c r="C41" s="16"/>
      <c r="D41" s="41" t="s">
        <v>69</v>
      </c>
      <c r="E41" s="163">
        <v>35776.839999999997</v>
      </c>
      <c r="F41" s="150"/>
      <c r="G41" s="150"/>
      <c r="H41" s="151"/>
      <c r="I41" s="163">
        <v>47530.9</v>
      </c>
      <c r="J41" s="150"/>
      <c r="K41" s="150"/>
      <c r="L41" s="151"/>
      <c r="M41" s="163">
        <v>84516.76</v>
      </c>
      <c r="N41" s="150"/>
      <c r="O41" s="150"/>
      <c r="P41" s="150"/>
      <c r="Q41" s="151"/>
      <c r="R41" s="163">
        <v>233070.5</v>
      </c>
      <c r="S41" s="150"/>
      <c r="T41" s="150"/>
      <c r="U41" s="150"/>
      <c r="V41" s="151"/>
      <c r="W41" s="163">
        <v>483620.38</v>
      </c>
      <c r="X41" s="150"/>
      <c r="Y41" s="150"/>
      <c r="Z41" s="151"/>
      <c r="AA41" s="163">
        <v>655430.12</v>
      </c>
      <c r="AB41" s="150"/>
      <c r="AC41" s="150"/>
      <c r="AD41" s="151"/>
      <c r="AE41" s="163">
        <v>581781.51</v>
      </c>
      <c r="AF41" s="150"/>
      <c r="AG41" s="150"/>
      <c r="AH41" s="150"/>
      <c r="AI41" s="151"/>
      <c r="AJ41" s="163">
        <v>305461.88</v>
      </c>
      <c r="AK41" s="150"/>
      <c r="AL41" s="150"/>
      <c r="AM41" s="151"/>
      <c r="AN41" s="51">
        <v>119065.69</v>
      </c>
      <c r="AO41" s="163">
        <v>273748.42</v>
      </c>
      <c r="AP41" s="150"/>
      <c r="AQ41" s="150"/>
      <c r="AR41" s="151"/>
      <c r="AS41" s="163">
        <v>331174.67</v>
      </c>
      <c r="AT41" s="150"/>
      <c r="AU41" s="150"/>
      <c r="AV41" s="150"/>
      <c r="AW41" s="151"/>
      <c r="AX41" s="163">
        <v>282284.73</v>
      </c>
      <c r="AY41" s="150"/>
      <c r="AZ41" s="150"/>
      <c r="BA41" s="151"/>
      <c r="BB41" s="172">
        <v>19205.759999999998</v>
      </c>
      <c r="BC41" s="152"/>
      <c r="BD41" s="152"/>
      <c r="BE41" s="153"/>
      <c r="BF41" s="32"/>
      <c r="BG41" s="33">
        <f t="shared" si="9"/>
        <v>3452668.1599999992</v>
      </c>
      <c r="BH41" s="52"/>
      <c r="BI41" s="52"/>
      <c r="BJ41" s="52"/>
      <c r="BK41" s="52"/>
      <c r="BL41" s="52"/>
      <c r="BM41" s="52"/>
      <c r="BN41" s="142"/>
      <c r="BO41" s="142"/>
      <c r="BP41" s="142"/>
      <c r="BQ41" s="142"/>
      <c r="BR41" s="142"/>
      <c r="BS41" s="142"/>
      <c r="BT41" s="142"/>
      <c r="BU41" s="142"/>
      <c r="BV41" s="142"/>
      <c r="BW41" s="142"/>
      <c r="BY41" s="41" t="s">
        <v>69</v>
      </c>
      <c r="BZ41" s="163">
        <v>35776.839999999997</v>
      </c>
      <c r="CA41" s="150"/>
      <c r="CB41" s="150"/>
      <c r="CC41" s="151"/>
      <c r="CD41" s="163">
        <v>47530.9</v>
      </c>
      <c r="CE41" s="150"/>
      <c r="CF41" s="150"/>
      <c r="CG41" s="151"/>
      <c r="CH41" s="163">
        <v>84516.76</v>
      </c>
      <c r="CI41" s="150"/>
      <c r="CJ41" s="150"/>
      <c r="CK41" s="150"/>
      <c r="CL41" s="151"/>
      <c r="CM41" s="163">
        <v>233070.5</v>
      </c>
      <c r="CN41" s="150"/>
      <c r="CO41" s="150"/>
      <c r="CP41" s="150"/>
      <c r="CQ41" s="151"/>
      <c r="CR41" s="163">
        <v>483620.38</v>
      </c>
      <c r="CS41" s="150"/>
      <c r="CT41" s="150"/>
      <c r="CU41" s="151"/>
      <c r="CV41" s="163">
        <v>655430.12</v>
      </c>
      <c r="CW41" s="150"/>
      <c r="CX41" s="150"/>
      <c r="CY41" s="151"/>
      <c r="CZ41" s="163">
        <v>581781.51</v>
      </c>
      <c r="DA41" s="150"/>
      <c r="DB41" s="150"/>
      <c r="DC41" s="150"/>
      <c r="DD41" s="151"/>
      <c r="DE41" s="163">
        <v>305461.88</v>
      </c>
      <c r="DF41" s="150"/>
      <c r="DG41" s="150"/>
      <c r="DH41" s="151"/>
      <c r="DI41" s="92">
        <v>392814.11</v>
      </c>
      <c r="DJ41" s="93"/>
      <c r="DK41" s="93"/>
      <c r="DL41" s="93"/>
      <c r="DM41" s="94"/>
      <c r="DN41" s="163">
        <v>331174.67</v>
      </c>
      <c r="DO41" s="150"/>
      <c r="DP41" s="150"/>
      <c r="DQ41" s="150"/>
      <c r="DR41" s="151"/>
      <c r="DS41" s="170">
        <v>282284.73</v>
      </c>
      <c r="DT41" s="159"/>
      <c r="DU41" s="159"/>
      <c r="DV41" s="160"/>
      <c r="DW41" s="173">
        <v>19205.759999999998</v>
      </c>
      <c r="DX41" s="174"/>
      <c r="DY41" s="174"/>
      <c r="DZ41" s="175"/>
      <c r="EA41" s="32"/>
      <c r="EB41" s="33">
        <f t="shared" ref="EB41:EB42" si="10">SUM(BZ41:DZ41)</f>
        <v>3452668.1599999992</v>
      </c>
      <c r="EC41" s="52"/>
      <c r="ED41" s="52"/>
      <c r="EE41" s="52"/>
      <c r="EF41" s="52"/>
    </row>
    <row r="42" spans="1:136" ht="18.95" thickBot="1">
      <c r="D42" s="41" t="s">
        <v>70</v>
      </c>
      <c r="E42" s="118">
        <f>E40-E41</f>
        <v>28688.740000000005</v>
      </c>
      <c r="F42" s="150"/>
      <c r="G42" s="150"/>
      <c r="H42" s="151"/>
      <c r="I42" s="118">
        <f>I40-I41</f>
        <v>-180.90000000000146</v>
      </c>
      <c r="J42" s="150"/>
      <c r="K42" s="150"/>
      <c r="L42" s="151"/>
      <c r="M42" s="118">
        <f>M40-M41</f>
        <v>49633.240000000005</v>
      </c>
      <c r="N42" s="150"/>
      <c r="O42" s="150"/>
      <c r="P42" s="150"/>
      <c r="Q42" s="151"/>
      <c r="R42" s="118">
        <f>R40-R41</f>
        <v>-41492.660000000003</v>
      </c>
      <c r="S42" s="150"/>
      <c r="T42" s="150"/>
      <c r="U42" s="150"/>
      <c r="V42" s="151"/>
      <c r="W42" s="118">
        <f>W40-W41</f>
        <v>-81724.38</v>
      </c>
      <c r="X42" s="150"/>
      <c r="Y42" s="150"/>
      <c r="Z42" s="151"/>
      <c r="AA42" s="118">
        <f>AA40-AA41</f>
        <v>-37866.609999999986</v>
      </c>
      <c r="AB42" s="150"/>
      <c r="AC42" s="150"/>
      <c r="AD42" s="151"/>
      <c r="AE42" s="118">
        <f>AE40-AE41</f>
        <v>-34934.589999999967</v>
      </c>
      <c r="AF42" s="150"/>
      <c r="AG42" s="150"/>
      <c r="AH42" s="150"/>
      <c r="AI42" s="151"/>
      <c r="AJ42" s="118">
        <f>AJ40-AJ41</f>
        <v>-59348.360000000015</v>
      </c>
      <c r="AK42" s="150"/>
      <c r="AL42" s="150"/>
      <c r="AM42" s="151"/>
      <c r="AN42" s="57">
        <f t="shared" ref="AN42:AO42" si="11">AN40-AN41</f>
        <v>-6265.6900000000023</v>
      </c>
      <c r="AO42" s="118">
        <f t="shared" si="11"/>
        <v>43165.590000000026</v>
      </c>
      <c r="AP42" s="150"/>
      <c r="AQ42" s="150"/>
      <c r="AR42" s="151"/>
      <c r="AS42" s="118">
        <f>AS40-AS41</f>
        <v>-174770.02999999997</v>
      </c>
      <c r="AT42" s="150"/>
      <c r="AU42" s="150"/>
      <c r="AV42" s="150"/>
      <c r="AW42" s="151"/>
      <c r="AX42" s="118">
        <f>AX40-AX41</f>
        <v>-29034.729999999981</v>
      </c>
      <c r="AY42" s="150"/>
      <c r="AZ42" s="150"/>
      <c r="BA42" s="151"/>
      <c r="BB42" s="146">
        <f>BB40-BB41</f>
        <v>85425.340000000011</v>
      </c>
      <c r="BC42" s="176"/>
      <c r="BD42" s="176"/>
      <c r="BE42" s="177"/>
      <c r="BF42" s="58"/>
      <c r="BG42" s="59">
        <f t="shared" si="9"/>
        <v>-258705.03999999986</v>
      </c>
      <c r="BN42" s="142"/>
      <c r="BO42" s="142"/>
      <c r="BP42" s="142"/>
      <c r="BQ42" s="142"/>
      <c r="BR42" s="142"/>
      <c r="BS42" s="142"/>
      <c r="BT42" s="142"/>
      <c r="BU42" s="142"/>
      <c r="BV42" s="142"/>
      <c r="BW42" s="142"/>
      <c r="BY42" s="41" t="s">
        <v>70</v>
      </c>
      <c r="BZ42" s="118">
        <f>BZ40-BZ41</f>
        <v>28132.760000000002</v>
      </c>
      <c r="CA42" s="150"/>
      <c r="CB42" s="150"/>
      <c r="CC42" s="151"/>
      <c r="CD42" s="118">
        <f>CD40-CD41</f>
        <v>6232.3300000000017</v>
      </c>
      <c r="CE42" s="150"/>
      <c r="CF42" s="150"/>
      <c r="CG42" s="151"/>
      <c r="CH42" s="118">
        <f>CH40-CH41</f>
        <v>50659.490000000005</v>
      </c>
      <c r="CI42" s="150"/>
      <c r="CJ42" s="150"/>
      <c r="CK42" s="150"/>
      <c r="CL42" s="151"/>
      <c r="CM42" s="118">
        <f>CM40-CM41</f>
        <v>-69025.31</v>
      </c>
      <c r="CN42" s="150"/>
      <c r="CO42" s="150"/>
      <c r="CP42" s="150"/>
      <c r="CQ42" s="151"/>
      <c r="CR42" s="118">
        <f>CR40-CR41</f>
        <v>-13885.949999999953</v>
      </c>
      <c r="CS42" s="150"/>
      <c r="CT42" s="150"/>
      <c r="CU42" s="151"/>
      <c r="CV42" s="118">
        <f>CV40-CV41</f>
        <v>-38055.680000000051</v>
      </c>
      <c r="CW42" s="150"/>
      <c r="CX42" s="150"/>
      <c r="CY42" s="151"/>
      <c r="CZ42" s="118">
        <f>CZ40-CZ41</f>
        <v>-47825.479999999981</v>
      </c>
      <c r="DA42" s="150"/>
      <c r="DB42" s="150"/>
      <c r="DC42" s="150"/>
      <c r="DD42" s="151"/>
      <c r="DE42" s="118">
        <f>DE40-DE41</f>
        <v>-16447.130000000005</v>
      </c>
      <c r="DF42" s="150"/>
      <c r="DG42" s="150"/>
      <c r="DH42" s="151"/>
      <c r="DI42" s="95">
        <f>DI40-DI41</f>
        <v>59529.439999999944</v>
      </c>
      <c r="DJ42" s="96"/>
      <c r="DK42" s="96"/>
      <c r="DL42" s="96"/>
      <c r="DM42" s="97"/>
      <c r="DN42" s="118">
        <f>DN40-DN41</f>
        <v>-166978.12</v>
      </c>
      <c r="DO42" s="150"/>
      <c r="DP42" s="150"/>
      <c r="DQ42" s="150"/>
      <c r="DR42" s="151"/>
      <c r="DS42" s="121">
        <f>DS40-DS41</f>
        <v>-29157.389999999956</v>
      </c>
      <c r="DT42" s="159"/>
      <c r="DU42" s="159"/>
      <c r="DV42" s="160"/>
      <c r="DW42" s="128">
        <f>DW40-DW41</f>
        <v>71426.780000000013</v>
      </c>
      <c r="DX42" s="178"/>
      <c r="DY42" s="178"/>
      <c r="DZ42" s="179"/>
      <c r="EA42" s="58"/>
      <c r="EB42" s="59">
        <f t="shared" si="10"/>
        <v>-165394.25999999995</v>
      </c>
    </row>
    <row r="43" spans="1:136" ht="18.95" thickBot="1">
      <c r="D43" s="41" t="s">
        <v>71</v>
      </c>
      <c r="E43" s="129">
        <f>E40/$BG$40</f>
        <v>2.0183570560451555E-2</v>
      </c>
      <c r="F43" s="150"/>
      <c r="G43" s="150"/>
      <c r="H43" s="151"/>
      <c r="I43" s="129">
        <f>I40/$BG$40</f>
        <v>1.4824842435876341E-2</v>
      </c>
      <c r="J43" s="150"/>
      <c r="K43" s="150"/>
      <c r="L43" s="151"/>
      <c r="M43" s="129">
        <f>M40/$BG$40</f>
        <v>4.200111114620509E-2</v>
      </c>
      <c r="N43" s="150"/>
      <c r="O43" s="150"/>
      <c r="P43" s="150"/>
      <c r="Q43" s="151"/>
      <c r="R43" s="129">
        <f>R40/$BG$40</f>
        <v>5.9981231091985804E-2</v>
      </c>
      <c r="S43" s="150"/>
      <c r="T43" s="150"/>
      <c r="U43" s="150"/>
      <c r="V43" s="151"/>
      <c r="W43" s="129">
        <f>W40/$BG$40</f>
        <v>0.12582988121666225</v>
      </c>
      <c r="X43" s="150"/>
      <c r="Y43" s="150"/>
      <c r="Z43" s="151"/>
      <c r="AA43" s="129">
        <f>AA40/$BG$40</f>
        <v>0.19335336282780874</v>
      </c>
      <c r="AB43" s="150"/>
      <c r="AC43" s="150"/>
      <c r="AD43" s="151"/>
      <c r="AE43" s="129">
        <f>AE40/$BG$40</f>
        <v>0.17121265946239231</v>
      </c>
      <c r="AF43" s="150"/>
      <c r="AG43" s="150"/>
      <c r="AH43" s="150"/>
      <c r="AI43" s="151"/>
      <c r="AJ43" s="129">
        <f>AJ40/$BG$40</f>
        <v>7.705584277378881E-2</v>
      </c>
      <c r="AK43" s="150"/>
      <c r="AL43" s="150"/>
      <c r="AM43" s="151"/>
      <c r="AN43" s="129">
        <f>(AN40+AO40)/BG40</f>
        <v>0.13453944014231448</v>
      </c>
      <c r="AO43" s="150"/>
      <c r="AP43" s="150"/>
      <c r="AQ43" s="150"/>
      <c r="AR43" s="151"/>
      <c r="AS43" s="129">
        <f>AS40/$BG$40</f>
        <v>4.8968830923758443E-2</v>
      </c>
      <c r="AT43" s="150"/>
      <c r="AU43" s="150"/>
      <c r="AV43" s="150"/>
      <c r="AW43" s="151"/>
      <c r="AX43" s="129">
        <f>AX40/$BG$40</f>
        <v>7.9290207959570924E-2</v>
      </c>
      <c r="AY43" s="150"/>
      <c r="AZ43" s="150"/>
      <c r="BA43" s="151"/>
      <c r="BB43" s="147">
        <f>BB40/$BG$40</f>
        <v>3.2759019459185239E-2</v>
      </c>
      <c r="BC43" s="154"/>
      <c r="BD43" s="154"/>
      <c r="BE43" s="155"/>
      <c r="BF43" s="58"/>
      <c r="BG43" s="60"/>
      <c r="BY43" s="41" t="s">
        <v>71</v>
      </c>
      <c r="BZ43" s="129">
        <f>BZ40/$BG$40</f>
        <v>2.0009498419004911E-2</v>
      </c>
      <c r="CA43" s="150"/>
      <c r="CB43" s="150"/>
      <c r="CC43" s="151"/>
      <c r="CD43" s="129">
        <f>CD40/$BG$40</f>
        <v>1.6832764806626821E-2</v>
      </c>
      <c r="CE43" s="150"/>
      <c r="CF43" s="150"/>
      <c r="CG43" s="151"/>
      <c r="CH43" s="129">
        <f>CH40/$BG$40</f>
        <v>4.2322420429200196E-2</v>
      </c>
      <c r="CI43" s="150"/>
      <c r="CJ43" s="150"/>
      <c r="CK43" s="150"/>
      <c r="CL43" s="151"/>
      <c r="CM43" s="129">
        <f>CM40/$BG$40</f>
        <v>5.1361015715172063E-2</v>
      </c>
      <c r="CN43" s="150"/>
      <c r="CO43" s="150"/>
      <c r="CP43" s="150"/>
      <c r="CQ43" s="151"/>
      <c r="CR43" s="129">
        <f>CR40/$BG$40</f>
        <v>0.14706945958724785</v>
      </c>
      <c r="CS43" s="150"/>
      <c r="CT43" s="150"/>
      <c r="CU43" s="151"/>
      <c r="CV43" s="129">
        <f>CV40/$BG$40</f>
        <v>0.19329416677798081</v>
      </c>
      <c r="CW43" s="150"/>
      <c r="CX43" s="150"/>
      <c r="CY43" s="151"/>
      <c r="CZ43" s="129">
        <f>CZ40/$BG$40</f>
        <v>0.16717664229009632</v>
      </c>
      <c r="DA43" s="150"/>
      <c r="DB43" s="150"/>
      <c r="DC43" s="150"/>
      <c r="DD43" s="151"/>
      <c r="DE43" s="129">
        <f>DE40/$BG$40</f>
        <v>9.0487816903784407E-2</v>
      </c>
      <c r="DF43" s="150"/>
      <c r="DG43" s="150"/>
      <c r="DH43" s="151"/>
      <c r="DI43" s="129">
        <f>(DI40+DJ40)/EB40</f>
        <v>0.1376044600360195</v>
      </c>
      <c r="DJ43" s="150"/>
      <c r="DK43" s="150"/>
      <c r="DL43" s="150"/>
      <c r="DM43" s="151"/>
      <c r="DN43" s="129">
        <f>DN40/$BG$40</f>
        <v>5.140840511646233E-2</v>
      </c>
      <c r="DO43" s="150"/>
      <c r="DP43" s="150"/>
      <c r="DQ43" s="150"/>
      <c r="DR43" s="151"/>
      <c r="DS43" s="130">
        <f>DS40/$BG$40</f>
        <v>7.9251804260031658E-2</v>
      </c>
      <c r="DT43" s="159"/>
      <c r="DU43" s="159"/>
      <c r="DV43" s="160"/>
      <c r="DW43" s="131">
        <f>DW40/$BG$40</f>
        <v>2.837620116289884E-2</v>
      </c>
      <c r="DX43" s="180"/>
      <c r="DY43" s="180"/>
      <c r="DZ43" s="181"/>
      <c r="EA43" s="58"/>
      <c r="EB43" s="60"/>
    </row>
    <row r="44" spans="1:136" ht="18.95" thickBot="1">
      <c r="D44" s="41" t="s">
        <v>72</v>
      </c>
      <c r="E44" s="116">
        <f>E41/$BJ$40</f>
        <v>1.0359190416298854E-2</v>
      </c>
      <c r="F44" s="150"/>
      <c r="G44" s="150"/>
      <c r="H44" s="151"/>
      <c r="I44" s="116">
        <f>I41/$BJ$40</f>
        <v>1.3762580590070539E-2</v>
      </c>
      <c r="J44" s="150"/>
      <c r="K44" s="150"/>
      <c r="L44" s="151"/>
      <c r="M44" s="116">
        <f>M41/$BJ$40</f>
        <v>2.44718429634543E-2</v>
      </c>
      <c r="N44" s="150"/>
      <c r="O44" s="150"/>
      <c r="P44" s="150"/>
      <c r="Q44" s="151"/>
      <c r="R44" s="116">
        <f>R41/$BJ$40</f>
        <v>6.7485604931066645E-2</v>
      </c>
      <c r="S44" s="150"/>
      <c r="T44" s="150"/>
      <c r="U44" s="150"/>
      <c r="V44" s="151"/>
      <c r="W44" s="116">
        <f>W41/$BJ$40</f>
        <v>0.14003236746517608</v>
      </c>
      <c r="X44" s="150"/>
      <c r="Y44" s="150"/>
      <c r="Z44" s="151"/>
      <c r="AA44" s="116">
        <f>AA41/$BJ$40</f>
        <v>0.18977990838927106</v>
      </c>
      <c r="AB44" s="150"/>
      <c r="AC44" s="150"/>
      <c r="AD44" s="151"/>
      <c r="AE44" s="116">
        <f>AE41/$BJ$40</f>
        <v>0.16845494020075213</v>
      </c>
      <c r="AF44" s="150"/>
      <c r="AG44" s="150"/>
      <c r="AH44" s="150"/>
      <c r="AI44" s="151"/>
      <c r="AJ44" s="116">
        <f>AJ41/$BJ$40</f>
        <v>8.8446541948384236E-2</v>
      </c>
      <c r="AK44" s="150"/>
      <c r="AL44" s="150"/>
      <c r="AM44" s="151"/>
      <c r="AN44" s="116">
        <f>(AN41+AO41)/$BJ$40</f>
        <v>0.11373939575711449</v>
      </c>
      <c r="AO44" s="150"/>
      <c r="AP44" s="150"/>
      <c r="AQ44" s="150"/>
      <c r="AR44" s="151"/>
      <c r="AS44" s="116">
        <f>AS41/$BJ$40</f>
        <v>9.5891684888462364E-2</v>
      </c>
      <c r="AT44" s="150"/>
      <c r="AU44" s="150"/>
      <c r="AV44" s="150"/>
      <c r="AW44" s="151"/>
      <c r="AX44" s="116">
        <f>AX41/$BJ$40</f>
        <v>8.1735594023494243E-2</v>
      </c>
      <c r="AY44" s="150"/>
      <c r="AZ44" s="150"/>
      <c r="BA44" s="151"/>
      <c r="BB44" s="116">
        <f>BB41/$BJ$40</f>
        <v>5.5610312405940795E-3</v>
      </c>
      <c r="BC44" s="150"/>
      <c r="BD44" s="150"/>
      <c r="BE44" s="151"/>
      <c r="BG44" s="44">
        <f>BG40+505000</f>
        <v>3698963.12</v>
      </c>
      <c r="BH44" s="61">
        <f>BH39+BH33+BH16</f>
        <v>1</v>
      </c>
      <c r="BY44" s="41" t="s">
        <v>72</v>
      </c>
      <c r="BZ44" s="116">
        <f>BZ41/$BJ$40</f>
        <v>1.0359190416298854E-2</v>
      </c>
      <c r="CA44" s="150"/>
      <c r="CB44" s="150"/>
      <c r="CC44" s="151"/>
      <c r="CD44" s="116">
        <f>CD41/$BJ$40</f>
        <v>1.3762580590070539E-2</v>
      </c>
      <c r="CE44" s="150"/>
      <c r="CF44" s="150"/>
      <c r="CG44" s="151"/>
      <c r="CH44" s="116">
        <f>CH41/$BJ$40</f>
        <v>2.44718429634543E-2</v>
      </c>
      <c r="CI44" s="150"/>
      <c r="CJ44" s="150"/>
      <c r="CK44" s="150"/>
      <c r="CL44" s="151"/>
      <c r="CM44" s="116">
        <f>CM41/$BJ$40</f>
        <v>6.7485604931066645E-2</v>
      </c>
      <c r="CN44" s="150"/>
      <c r="CO44" s="150"/>
      <c r="CP44" s="150"/>
      <c r="CQ44" s="151"/>
      <c r="CR44" s="116">
        <f>CR41/$BJ$40</f>
        <v>0.14003236746517608</v>
      </c>
      <c r="CS44" s="150"/>
      <c r="CT44" s="150"/>
      <c r="CU44" s="151"/>
      <c r="CV44" s="116">
        <f>CV41/$BJ$40</f>
        <v>0.18977990838927106</v>
      </c>
      <c r="CW44" s="150"/>
      <c r="CX44" s="150"/>
      <c r="CY44" s="151"/>
      <c r="CZ44" s="116">
        <f>CZ41/$BJ$40</f>
        <v>0.16845494020075213</v>
      </c>
      <c r="DA44" s="150"/>
      <c r="DB44" s="150"/>
      <c r="DC44" s="150"/>
      <c r="DD44" s="151"/>
      <c r="DE44" s="116">
        <f>DE41/$BJ$40</f>
        <v>8.8446541948384236E-2</v>
      </c>
      <c r="DF44" s="150"/>
      <c r="DG44" s="150"/>
      <c r="DH44" s="151"/>
      <c r="DI44" s="116">
        <f>(DI41+DJ41)/$BJ$40</f>
        <v>0.11373939575711449</v>
      </c>
      <c r="DJ44" s="150"/>
      <c r="DK44" s="150"/>
      <c r="DL44" s="150"/>
      <c r="DM44" s="151"/>
      <c r="DN44" s="116">
        <f>DN41/$BJ$40</f>
        <v>9.5891684888462364E-2</v>
      </c>
      <c r="DO44" s="150"/>
      <c r="DP44" s="150"/>
      <c r="DQ44" s="150"/>
      <c r="DR44" s="151"/>
      <c r="DS44" s="117">
        <f>DS41/$BJ$40</f>
        <v>8.1735594023494243E-2</v>
      </c>
      <c r="DT44" s="159"/>
      <c r="DU44" s="159"/>
      <c r="DV44" s="160"/>
      <c r="DW44" s="117">
        <f>DW41/$BJ$40</f>
        <v>5.5610312405940795E-3</v>
      </c>
      <c r="DX44" s="159"/>
      <c r="DY44" s="159"/>
      <c r="DZ44" s="160"/>
      <c r="EB44" s="44">
        <f>EB40+505000</f>
        <v>3792273.8999999994</v>
      </c>
      <c r="EC44" s="61">
        <f>EC39+EC33+EC16</f>
        <v>1.0000000000000002</v>
      </c>
    </row>
    <row r="45" spans="1:136" ht="15.75" customHeight="1" thickBot="1">
      <c r="DS45" s="85"/>
      <c r="DT45" s="85"/>
      <c r="DU45" s="85"/>
      <c r="DV45" s="85"/>
      <c r="DW45" s="85"/>
      <c r="DX45" s="85"/>
      <c r="DY45" s="85"/>
      <c r="DZ45" s="85"/>
    </row>
    <row r="46" spans="1:136" ht="18.95" thickBot="1">
      <c r="D46" s="41" t="s">
        <v>73</v>
      </c>
      <c r="E46" s="118">
        <v>0</v>
      </c>
      <c r="F46" s="150"/>
      <c r="G46" s="150"/>
      <c r="H46" s="151"/>
      <c r="I46" s="118">
        <v>0</v>
      </c>
      <c r="J46" s="150"/>
      <c r="K46" s="150"/>
      <c r="L46" s="151"/>
      <c r="M46" s="118">
        <v>0</v>
      </c>
      <c r="N46" s="150"/>
      <c r="O46" s="150"/>
      <c r="P46" s="150"/>
      <c r="Q46" s="151"/>
      <c r="R46" s="119">
        <v>25000</v>
      </c>
      <c r="S46" s="150"/>
      <c r="T46" s="150"/>
      <c r="U46" s="150"/>
      <c r="V46" s="151"/>
      <c r="W46" s="118">
        <v>0</v>
      </c>
      <c r="X46" s="150"/>
      <c r="Y46" s="150"/>
      <c r="Z46" s="151"/>
      <c r="AA46" s="120">
        <v>20000</v>
      </c>
      <c r="AB46" s="152"/>
      <c r="AC46" s="152"/>
      <c r="AD46" s="153"/>
      <c r="AE46" s="118">
        <v>105000</v>
      </c>
      <c r="AF46" s="150"/>
      <c r="AG46" s="150"/>
      <c r="AH46" s="150"/>
      <c r="AI46" s="151"/>
      <c r="AJ46" s="118">
        <v>20000</v>
      </c>
      <c r="AK46" s="150"/>
      <c r="AL46" s="150"/>
      <c r="AM46" s="151"/>
      <c r="AN46" s="57"/>
      <c r="AO46" s="118">
        <v>0</v>
      </c>
      <c r="AP46" s="150"/>
      <c r="AQ46" s="150"/>
      <c r="AR46" s="151"/>
      <c r="AS46" s="118">
        <v>0</v>
      </c>
      <c r="AT46" s="150"/>
      <c r="AU46" s="150"/>
      <c r="AV46" s="150"/>
      <c r="AW46" s="151"/>
      <c r="AX46" s="118">
        <v>0</v>
      </c>
      <c r="AY46" s="150"/>
      <c r="AZ46" s="150"/>
      <c r="BA46" s="151"/>
      <c r="BB46" s="118">
        <v>0</v>
      </c>
      <c r="BC46" s="150"/>
      <c r="BD46" s="150"/>
      <c r="BE46" s="151"/>
      <c r="BG46" s="33">
        <f>SUM(E46:BE46)</f>
        <v>170000</v>
      </c>
      <c r="BY46" s="41" t="s">
        <v>73</v>
      </c>
      <c r="BZ46" s="118">
        <v>0</v>
      </c>
      <c r="CA46" s="150"/>
      <c r="CB46" s="150"/>
      <c r="CC46" s="151"/>
      <c r="CD46" s="118">
        <v>0</v>
      </c>
      <c r="CE46" s="150"/>
      <c r="CF46" s="150"/>
      <c r="CG46" s="151"/>
      <c r="CH46" s="118">
        <v>0</v>
      </c>
      <c r="CI46" s="150"/>
      <c r="CJ46" s="150"/>
      <c r="CK46" s="150"/>
      <c r="CL46" s="151"/>
      <c r="CM46" s="119">
        <v>0</v>
      </c>
      <c r="CN46" s="150"/>
      <c r="CO46" s="150"/>
      <c r="CP46" s="150"/>
      <c r="CQ46" s="151"/>
      <c r="CR46" s="118">
        <v>0</v>
      </c>
      <c r="CS46" s="150"/>
      <c r="CT46" s="150"/>
      <c r="CU46" s="151"/>
      <c r="CV46" s="120">
        <v>7985.18</v>
      </c>
      <c r="CW46" s="152"/>
      <c r="CX46" s="152"/>
      <c r="CY46" s="153"/>
      <c r="CZ46" s="118">
        <v>87191.6</v>
      </c>
      <c r="DA46" s="150"/>
      <c r="DB46" s="150"/>
      <c r="DC46" s="150"/>
      <c r="DD46" s="151"/>
      <c r="DE46" s="118">
        <v>13477.47</v>
      </c>
      <c r="DF46" s="150"/>
      <c r="DG46" s="150"/>
      <c r="DH46" s="151"/>
      <c r="DI46" s="95">
        <f>17398.31+1535.4</f>
        <v>18933.710000000003</v>
      </c>
      <c r="DJ46" s="96"/>
      <c r="DK46" s="96"/>
      <c r="DL46" s="96"/>
      <c r="DM46" s="97"/>
      <c r="DN46" s="118">
        <f>8500+1527.61+884.94</f>
        <v>10912.550000000001</v>
      </c>
      <c r="DO46" s="150"/>
      <c r="DP46" s="150"/>
      <c r="DQ46" s="150"/>
      <c r="DR46" s="151"/>
      <c r="DS46" s="121">
        <v>0</v>
      </c>
      <c r="DT46" s="159"/>
      <c r="DU46" s="159"/>
      <c r="DV46" s="160"/>
      <c r="DW46" s="121">
        <v>0</v>
      </c>
      <c r="DX46" s="159"/>
      <c r="DY46" s="159"/>
      <c r="DZ46" s="160"/>
      <c r="EB46" s="33">
        <f>SUM(BZ46:DZ46)</f>
        <v>138500.51</v>
      </c>
    </row>
    <row r="47" spans="1:136" ht="14.1" thickBot="1">
      <c r="Q47" s="62"/>
      <c r="R47" s="122" t="s">
        <v>74</v>
      </c>
      <c r="S47" s="150"/>
      <c r="T47" s="150"/>
      <c r="U47" s="150"/>
      <c r="V47" s="151"/>
      <c r="AA47" s="182" t="s">
        <v>75</v>
      </c>
      <c r="AB47" s="150"/>
      <c r="AC47" s="150"/>
      <c r="AD47" s="151"/>
      <c r="AE47" s="123" t="s">
        <v>76</v>
      </c>
      <c r="AF47" s="150"/>
      <c r="AG47" s="150"/>
      <c r="AH47" s="150"/>
      <c r="AI47" s="151"/>
      <c r="AJ47" s="124" t="s">
        <v>77</v>
      </c>
      <c r="AK47" s="150"/>
      <c r="AL47" s="150"/>
      <c r="AM47" s="151"/>
      <c r="AX47" s="148" t="s">
        <v>78</v>
      </c>
      <c r="AY47" s="150"/>
      <c r="AZ47" s="150"/>
      <c r="BA47" s="151"/>
      <c r="BM47">
        <f>430</f>
        <v>430</v>
      </c>
      <c r="CL47" s="62"/>
      <c r="CM47" s="122" t="s">
        <v>74</v>
      </c>
      <c r="CN47" s="150"/>
      <c r="CO47" s="150"/>
      <c r="CP47" s="150"/>
      <c r="CQ47" s="151"/>
      <c r="CV47" s="182" t="s">
        <v>75</v>
      </c>
      <c r="CW47" s="150"/>
      <c r="CX47" s="150"/>
      <c r="CY47" s="151"/>
      <c r="CZ47" s="123" t="s">
        <v>76</v>
      </c>
      <c r="DA47" s="150"/>
      <c r="DB47" s="150"/>
      <c r="DC47" s="150"/>
      <c r="DD47" s="151"/>
      <c r="DE47" s="124" t="s">
        <v>77</v>
      </c>
      <c r="DF47" s="150"/>
      <c r="DG47" s="150"/>
      <c r="DH47" s="151"/>
      <c r="DS47" s="125" t="s">
        <v>78</v>
      </c>
      <c r="DT47" s="159"/>
      <c r="DU47" s="159"/>
      <c r="DV47" s="160"/>
      <c r="DW47" s="85"/>
      <c r="DX47" s="85"/>
      <c r="DY47" s="85"/>
      <c r="DZ47" s="85"/>
    </row>
    <row r="48" spans="1:136" ht="14.1" thickBot="1">
      <c r="AA48" s="183" t="s">
        <v>79</v>
      </c>
      <c r="AB48" s="150"/>
      <c r="AC48" s="150"/>
      <c r="AD48" s="151"/>
      <c r="AE48" s="126" t="s">
        <v>80</v>
      </c>
      <c r="AF48" s="150"/>
      <c r="AG48" s="150"/>
      <c r="AH48" s="150"/>
      <c r="AI48" s="151"/>
      <c r="BM48">
        <f>1.4*BM47</f>
        <v>602</v>
      </c>
      <c r="CV48" s="183" t="s">
        <v>79</v>
      </c>
      <c r="CW48" s="150"/>
      <c r="CX48" s="150"/>
      <c r="CY48" s="151"/>
      <c r="CZ48" s="126" t="s">
        <v>80</v>
      </c>
      <c r="DA48" s="150"/>
      <c r="DB48" s="150"/>
      <c r="DC48" s="150"/>
      <c r="DD48" s="151"/>
      <c r="DS48" s="85"/>
      <c r="DT48" s="85"/>
      <c r="DU48" s="85"/>
      <c r="DV48" s="85"/>
      <c r="DW48" s="85"/>
      <c r="DX48" s="85"/>
      <c r="DY48" s="85"/>
      <c r="DZ48" s="85"/>
    </row>
    <row r="49" spans="4:136" ht="14.1" thickBot="1">
      <c r="AE49" s="127" t="s">
        <v>81</v>
      </c>
      <c r="AF49" s="150"/>
      <c r="AG49" s="150"/>
      <c r="AH49" s="150"/>
      <c r="AI49" s="151"/>
      <c r="BM49">
        <f>1.4*BM47</f>
        <v>602</v>
      </c>
      <c r="CZ49" s="127" t="s">
        <v>81</v>
      </c>
      <c r="DA49" s="150"/>
      <c r="DB49" s="150"/>
      <c r="DC49" s="150"/>
      <c r="DD49" s="151"/>
      <c r="DS49" s="85"/>
      <c r="DT49" s="85"/>
      <c r="DU49" s="85"/>
      <c r="DV49" s="85"/>
      <c r="DW49" s="85"/>
      <c r="DX49" s="85"/>
      <c r="DY49" s="85"/>
      <c r="DZ49" s="85"/>
    </row>
    <row r="50" spans="4:136" ht="18">
      <c r="D50" s="105" t="s">
        <v>82</v>
      </c>
      <c r="E50" s="23"/>
      <c r="F50" s="23"/>
      <c r="G50" s="23"/>
      <c r="H50" s="23"/>
      <c r="BY50" s="105" t="s">
        <v>82</v>
      </c>
      <c r="BZ50" s="23"/>
      <c r="CA50" s="23"/>
      <c r="CB50" s="23"/>
      <c r="CC50" s="23"/>
      <c r="DS50" s="85"/>
      <c r="DT50" s="85"/>
      <c r="DU50" s="85"/>
      <c r="DV50" s="85"/>
      <c r="DW50" s="85"/>
      <c r="DX50" s="85"/>
      <c r="DY50" s="85"/>
      <c r="DZ50" s="85"/>
    </row>
    <row r="51" spans="4:136" ht="14.1" thickBot="1">
      <c r="D51" s="169"/>
      <c r="E51" s="115"/>
      <c r="F51" s="149"/>
      <c r="G51" s="149"/>
      <c r="H51" s="149"/>
      <c r="I51" s="115"/>
      <c r="J51" s="149"/>
      <c r="K51" s="149"/>
      <c r="L51" s="149"/>
      <c r="M51" s="115"/>
      <c r="N51" s="149"/>
      <c r="O51" s="149"/>
      <c r="BY51" s="169"/>
      <c r="BZ51" s="115"/>
      <c r="CA51" s="149"/>
      <c r="CB51" s="149"/>
      <c r="CC51" s="149"/>
      <c r="CD51" s="115"/>
      <c r="CE51" s="149"/>
      <c r="CF51" s="149"/>
      <c r="CG51" s="149"/>
      <c r="CH51" s="115"/>
      <c r="CI51" s="149"/>
      <c r="CJ51" s="149"/>
      <c r="DS51" s="85"/>
      <c r="DT51" s="85"/>
      <c r="DU51" s="85"/>
      <c r="DV51" s="85"/>
      <c r="DW51" s="85"/>
      <c r="DX51" s="85"/>
      <c r="DY51" s="85"/>
      <c r="DZ51" s="85"/>
    </row>
    <row r="52" spans="4:136" ht="15" thickBot="1">
      <c r="D52" s="50" t="s">
        <v>83</v>
      </c>
      <c r="E52" s="157">
        <f>(E40-E23)*0.08825</f>
        <v>5689.0874349999995</v>
      </c>
      <c r="F52" s="150"/>
      <c r="G52" s="150"/>
      <c r="H52" s="151"/>
      <c r="I52" s="157">
        <f>(I40-I23)*0.08825</f>
        <v>4178.6374999999998</v>
      </c>
      <c r="J52" s="150"/>
      <c r="K52" s="150"/>
      <c r="L52" s="151"/>
      <c r="M52" s="157">
        <f>(M40-M23)*0.08825</f>
        <v>11838.737499999999</v>
      </c>
      <c r="N52" s="150"/>
      <c r="O52" s="150"/>
      <c r="P52" s="150"/>
      <c r="Q52" s="151"/>
      <c r="R52" s="157">
        <f>(R40-R23)*0.08825</f>
        <v>16906.74438</v>
      </c>
      <c r="S52" s="150"/>
      <c r="T52" s="150"/>
      <c r="U52" s="150"/>
      <c r="V52" s="151"/>
      <c r="W52" s="157">
        <f>(W40-W23)*0.08825</f>
        <v>33976.25</v>
      </c>
      <c r="X52" s="150"/>
      <c r="Y52" s="150"/>
      <c r="Z52" s="151"/>
      <c r="AA52" s="157">
        <f>(AA40-AA23)*0.08825</f>
        <v>52185.005757499996</v>
      </c>
      <c r="AB52" s="150"/>
      <c r="AC52" s="150"/>
      <c r="AD52" s="151"/>
      <c r="AE52" s="157">
        <f>(AE40-AE23)*0.08825</f>
        <v>46021.044190000001</v>
      </c>
      <c r="AF52" s="150"/>
      <c r="AG52" s="150"/>
      <c r="AH52" s="150"/>
      <c r="AI52" s="151"/>
      <c r="AJ52" s="157">
        <f>(AJ40-AJ23)*0.08825</f>
        <v>20209.384139999998</v>
      </c>
      <c r="AK52" s="150"/>
      <c r="AL52" s="150"/>
      <c r="AM52" s="151"/>
      <c r="AN52" s="157">
        <f>(AO40+AN40-AN23-AO23)*0.08825</f>
        <v>37233.911382500002</v>
      </c>
      <c r="AO52" s="150"/>
      <c r="AP52" s="150"/>
      <c r="AQ52" s="150"/>
      <c r="AR52" s="151"/>
      <c r="AS52" s="157">
        <f>(AS40-AS23)*0.08825</f>
        <v>13802.709480000001</v>
      </c>
      <c r="AT52" s="150"/>
      <c r="AU52" s="150"/>
      <c r="AV52" s="150"/>
      <c r="AW52" s="151"/>
      <c r="AX52" s="157">
        <f>(AX40-AX23)*0.08825</f>
        <v>21621.25</v>
      </c>
      <c r="AY52" s="150"/>
      <c r="AZ52" s="150"/>
      <c r="BA52" s="151"/>
      <c r="BB52" s="157">
        <f>(BB40-BB23)*0.08825</f>
        <v>9233.6945749999995</v>
      </c>
      <c r="BC52" s="150"/>
      <c r="BD52" s="150"/>
      <c r="BE52" s="151"/>
      <c r="BG52" s="33">
        <f t="shared" ref="BG52:BG62" si="12">SUM(E52:BE52)</f>
        <v>272896.45633999992</v>
      </c>
      <c r="BH52" s="27"/>
      <c r="BI52" s="27"/>
      <c r="BJ52" s="88">
        <v>311002.53000000003</v>
      </c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Y52" s="50" t="s">
        <v>83</v>
      </c>
      <c r="BZ52" s="157">
        <f>5640.03</f>
        <v>5640.03</v>
      </c>
      <c r="CA52" s="150"/>
      <c r="CB52" s="150"/>
      <c r="CC52" s="151"/>
      <c r="CD52" s="157">
        <f>(CD40-CD23)*0.08825</f>
        <v>4744.6050475000002</v>
      </c>
      <c r="CE52" s="150"/>
      <c r="CF52" s="150"/>
      <c r="CG52" s="151"/>
      <c r="CH52" s="157">
        <v>11887.56</v>
      </c>
      <c r="CI52" s="150"/>
      <c r="CJ52" s="150"/>
      <c r="CK52" s="150"/>
      <c r="CL52" s="151"/>
      <c r="CM52" s="157">
        <v>14463.2</v>
      </c>
      <c r="CN52" s="150"/>
      <c r="CO52" s="150"/>
      <c r="CP52" s="150"/>
      <c r="CQ52" s="151"/>
      <c r="CR52" s="157">
        <v>39963</v>
      </c>
      <c r="CS52" s="150"/>
      <c r="CT52" s="150"/>
      <c r="CU52" s="151"/>
      <c r="CV52" s="184">
        <v>49606.55</v>
      </c>
      <c r="CW52" s="185"/>
      <c r="CX52" s="185"/>
      <c r="CY52" s="186"/>
      <c r="CZ52" s="157">
        <v>42715.54</v>
      </c>
      <c r="DA52" s="150"/>
      <c r="DB52" s="150"/>
      <c r="DC52" s="150"/>
      <c r="DD52" s="151"/>
      <c r="DE52" s="157">
        <v>24445.08</v>
      </c>
      <c r="DF52" s="150"/>
      <c r="DG52" s="150"/>
      <c r="DH52" s="151"/>
      <c r="DI52" s="157">
        <v>39230.980000000003</v>
      </c>
      <c r="DJ52" s="150"/>
      <c r="DK52" s="150"/>
      <c r="DL52" s="150"/>
      <c r="DM52" s="151"/>
      <c r="DN52" s="157">
        <v>14490.34</v>
      </c>
      <c r="DO52" s="150"/>
      <c r="DP52" s="150"/>
      <c r="DQ52" s="150"/>
      <c r="DR52" s="151"/>
      <c r="DS52" s="158">
        <f>0.08825*DS40</f>
        <v>22338.487755000002</v>
      </c>
      <c r="DT52" s="159"/>
      <c r="DU52" s="159"/>
      <c r="DV52" s="160"/>
      <c r="DW52" s="158">
        <f>0.08825*DW40</f>
        <v>7998.3216550000006</v>
      </c>
      <c r="DX52" s="159"/>
      <c r="DY52" s="159"/>
      <c r="DZ52" s="160"/>
      <c r="EB52" s="33">
        <f t="shared" ref="EB52:EB61" si="13">SUM(BZ52:DZ52)</f>
        <v>277523.69445750001</v>
      </c>
      <c r="EC52" s="27"/>
      <c r="ED52" s="27"/>
      <c r="EE52" s="88">
        <f t="shared" ref="EE52:EE61" si="14">EB52-BG52</f>
        <v>4627.2381175000919</v>
      </c>
      <c r="EF52" s="27"/>
    </row>
    <row r="53" spans="4:136" ht="15" thickBot="1">
      <c r="D53" s="50" t="s">
        <v>84</v>
      </c>
      <c r="E53" s="157">
        <v>0</v>
      </c>
      <c r="F53" s="150"/>
      <c r="G53" s="150"/>
      <c r="H53" s="151"/>
      <c r="I53" s="157">
        <v>100000</v>
      </c>
      <c r="J53" s="150"/>
      <c r="K53" s="150"/>
      <c r="L53" s="151"/>
      <c r="M53" s="157">
        <v>0</v>
      </c>
      <c r="N53" s="150"/>
      <c r="O53" s="150"/>
      <c r="P53" s="150"/>
      <c r="Q53" s="151"/>
      <c r="R53" s="157">
        <v>20000</v>
      </c>
      <c r="S53" s="150"/>
      <c r="T53" s="150"/>
      <c r="U53" s="150"/>
      <c r="V53" s="151"/>
      <c r="W53" s="157">
        <v>20000</v>
      </c>
      <c r="X53" s="150"/>
      <c r="Y53" s="150"/>
      <c r="Z53" s="151"/>
      <c r="AA53" s="157">
        <v>20000</v>
      </c>
      <c r="AB53" s="150"/>
      <c r="AC53" s="150"/>
      <c r="AD53" s="151"/>
      <c r="AE53" s="157">
        <v>0</v>
      </c>
      <c r="AF53" s="150"/>
      <c r="AG53" s="150"/>
      <c r="AH53" s="150"/>
      <c r="AI53" s="151"/>
      <c r="AJ53" s="157">
        <v>0</v>
      </c>
      <c r="AK53" s="150"/>
      <c r="AL53" s="150"/>
      <c r="AM53" s="151"/>
      <c r="AN53" s="157">
        <v>20000</v>
      </c>
      <c r="AO53" s="150"/>
      <c r="AP53" s="150"/>
      <c r="AQ53" s="150"/>
      <c r="AR53" s="151"/>
      <c r="AS53" s="157">
        <v>0</v>
      </c>
      <c r="AT53" s="150"/>
      <c r="AU53" s="150"/>
      <c r="AV53" s="150"/>
      <c r="AW53" s="151"/>
      <c r="AX53" s="157">
        <v>20000</v>
      </c>
      <c r="AY53" s="150"/>
      <c r="AZ53" s="150"/>
      <c r="BA53" s="151"/>
      <c r="BB53" s="157">
        <v>0</v>
      </c>
      <c r="BC53" s="150"/>
      <c r="BD53" s="150"/>
      <c r="BE53" s="151"/>
      <c r="BG53" s="33">
        <f t="shared" si="12"/>
        <v>200000</v>
      </c>
      <c r="BH53" s="27"/>
      <c r="BI53" s="27"/>
      <c r="BJ53" s="88">
        <v>167910</v>
      </c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Y53" s="50" t="s">
        <v>84</v>
      </c>
      <c r="BZ53" s="157">
        <v>0</v>
      </c>
      <c r="CA53" s="150"/>
      <c r="CB53" s="150"/>
      <c r="CC53" s="151"/>
      <c r="CD53" s="157">
        <v>25000</v>
      </c>
      <c r="CE53" s="150"/>
      <c r="CF53" s="150"/>
      <c r="CG53" s="151"/>
      <c r="CH53" s="157">
        <v>75000</v>
      </c>
      <c r="CI53" s="150"/>
      <c r="CJ53" s="150"/>
      <c r="CK53" s="150"/>
      <c r="CL53" s="151"/>
      <c r="CM53" s="157">
        <v>0</v>
      </c>
      <c r="CN53" s="150"/>
      <c r="CO53" s="150"/>
      <c r="CP53" s="150"/>
      <c r="CQ53" s="151"/>
      <c r="CR53" s="157">
        <v>0</v>
      </c>
      <c r="CS53" s="150"/>
      <c r="CT53" s="150"/>
      <c r="CU53" s="151"/>
      <c r="CV53" s="157">
        <v>36600</v>
      </c>
      <c r="CW53" s="150"/>
      <c r="CX53" s="150"/>
      <c r="CY53" s="151"/>
      <c r="CZ53" s="157">
        <v>0</v>
      </c>
      <c r="DA53" s="150"/>
      <c r="DB53" s="150"/>
      <c r="DC53" s="150"/>
      <c r="DD53" s="151"/>
      <c r="DE53" s="157">
        <v>9600</v>
      </c>
      <c r="DF53" s="150"/>
      <c r="DG53" s="150"/>
      <c r="DH53" s="151"/>
      <c r="DI53" s="157">
        <v>14200</v>
      </c>
      <c r="DJ53" s="150"/>
      <c r="DK53" s="150"/>
      <c r="DL53" s="150"/>
      <c r="DM53" s="151"/>
      <c r="DN53" s="157"/>
      <c r="DO53" s="150"/>
      <c r="DP53" s="150"/>
      <c r="DQ53" s="150"/>
      <c r="DR53" s="151"/>
      <c r="DS53" s="158">
        <v>13200</v>
      </c>
      <c r="DT53" s="159"/>
      <c r="DU53" s="159"/>
      <c r="DV53" s="160"/>
      <c r="DW53" s="158"/>
      <c r="DX53" s="159"/>
      <c r="DY53" s="159"/>
      <c r="DZ53" s="160"/>
      <c r="EB53" s="33">
        <f t="shared" si="13"/>
        <v>173600</v>
      </c>
      <c r="EC53" s="27"/>
      <c r="ED53" s="27"/>
      <c r="EE53" s="88">
        <f t="shared" si="14"/>
        <v>-26400</v>
      </c>
      <c r="EF53" s="27"/>
    </row>
    <row r="54" spans="4:136" ht="15" thickBot="1">
      <c r="D54" s="31" t="s">
        <v>85</v>
      </c>
      <c r="E54" s="157">
        <v>0</v>
      </c>
      <c r="F54" s="150"/>
      <c r="G54" s="150"/>
      <c r="H54" s="151"/>
      <c r="I54" s="157">
        <v>0</v>
      </c>
      <c r="J54" s="150"/>
      <c r="K54" s="150"/>
      <c r="L54" s="151"/>
      <c r="M54" s="157">
        <v>0</v>
      </c>
      <c r="N54" s="150"/>
      <c r="O54" s="150"/>
      <c r="P54" s="150"/>
      <c r="Q54" s="151"/>
      <c r="R54" s="157">
        <v>0</v>
      </c>
      <c r="S54" s="150"/>
      <c r="T54" s="150"/>
      <c r="U54" s="150"/>
      <c r="V54" s="151"/>
      <c r="W54" s="157">
        <v>0</v>
      </c>
      <c r="X54" s="150"/>
      <c r="Y54" s="150"/>
      <c r="Z54" s="151"/>
      <c r="AA54" s="157">
        <v>6000</v>
      </c>
      <c r="AB54" s="150"/>
      <c r="AC54" s="150"/>
      <c r="AD54" s="151"/>
      <c r="AE54" s="157">
        <v>8000</v>
      </c>
      <c r="AF54" s="150"/>
      <c r="AG54" s="150"/>
      <c r="AH54" s="150"/>
      <c r="AI54" s="151"/>
      <c r="AJ54" s="157">
        <v>6000</v>
      </c>
      <c r="AK54" s="150"/>
      <c r="AL54" s="150"/>
      <c r="AM54" s="151"/>
      <c r="AN54" s="157">
        <v>6000</v>
      </c>
      <c r="AO54" s="150"/>
      <c r="AP54" s="150"/>
      <c r="AQ54" s="150"/>
      <c r="AR54" s="151"/>
      <c r="AS54" s="157">
        <v>4000</v>
      </c>
      <c r="AT54" s="150"/>
      <c r="AU54" s="150"/>
      <c r="AV54" s="150"/>
      <c r="AW54" s="151"/>
      <c r="AX54" s="157">
        <v>0</v>
      </c>
      <c r="AY54" s="150"/>
      <c r="AZ54" s="150"/>
      <c r="BA54" s="151"/>
      <c r="BB54" s="157">
        <v>4000</v>
      </c>
      <c r="BC54" s="150"/>
      <c r="BD54" s="150"/>
      <c r="BE54" s="151"/>
      <c r="BG54" s="33">
        <f t="shared" si="12"/>
        <v>34000</v>
      </c>
      <c r="BH54" s="27"/>
      <c r="BI54" s="27"/>
      <c r="BJ54" s="88">
        <v>37413</v>
      </c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Y54" s="31" t="s">
        <v>85</v>
      </c>
      <c r="BZ54" s="157">
        <v>0</v>
      </c>
      <c r="CA54" s="150"/>
      <c r="CB54" s="150"/>
      <c r="CC54" s="151"/>
      <c r="CD54" s="157">
        <v>0</v>
      </c>
      <c r="CE54" s="150"/>
      <c r="CF54" s="150"/>
      <c r="CG54" s="151"/>
      <c r="CH54" s="157">
        <v>0</v>
      </c>
      <c r="CI54" s="150"/>
      <c r="CJ54" s="150"/>
      <c r="CK54" s="150"/>
      <c r="CL54" s="151"/>
      <c r="CM54" s="157">
        <v>3110</v>
      </c>
      <c r="CN54" s="150"/>
      <c r="CO54" s="150"/>
      <c r="CP54" s="150"/>
      <c r="CQ54" s="151"/>
      <c r="CR54" s="157">
        <v>0</v>
      </c>
      <c r="CS54" s="150"/>
      <c r="CT54" s="150"/>
      <c r="CU54" s="151"/>
      <c r="CV54" s="157">
        <v>13835</v>
      </c>
      <c r="CW54" s="150"/>
      <c r="CX54" s="150"/>
      <c r="CY54" s="151"/>
      <c r="CZ54" s="157">
        <v>2620</v>
      </c>
      <c r="DA54" s="150"/>
      <c r="DB54" s="150"/>
      <c r="DC54" s="150"/>
      <c r="DD54" s="151"/>
      <c r="DE54" s="157">
        <v>8725</v>
      </c>
      <c r="DF54" s="150"/>
      <c r="DG54" s="150"/>
      <c r="DH54" s="151"/>
      <c r="DI54" s="157">
        <v>3980</v>
      </c>
      <c r="DJ54" s="150"/>
      <c r="DK54" s="150"/>
      <c r="DL54" s="150"/>
      <c r="DM54" s="151"/>
      <c r="DN54" s="157">
        <v>1860</v>
      </c>
      <c r="DO54" s="150"/>
      <c r="DP54" s="150"/>
      <c r="DQ54" s="150"/>
      <c r="DR54" s="151"/>
      <c r="DS54" s="158">
        <v>1470</v>
      </c>
      <c r="DT54" s="159"/>
      <c r="DU54" s="159"/>
      <c r="DV54" s="160"/>
      <c r="DW54" s="158"/>
      <c r="DX54" s="159"/>
      <c r="DY54" s="159"/>
      <c r="DZ54" s="160"/>
      <c r="EB54" s="33">
        <f t="shared" si="13"/>
        <v>35600</v>
      </c>
      <c r="EC54" s="27"/>
      <c r="ED54" s="27"/>
      <c r="EE54" s="88">
        <f t="shared" si="14"/>
        <v>1600</v>
      </c>
      <c r="EF54" s="27"/>
    </row>
    <row r="55" spans="4:136" ht="15" thickBot="1">
      <c r="D55" s="31" t="s">
        <v>86</v>
      </c>
      <c r="E55" s="157">
        <v>0</v>
      </c>
      <c r="F55" s="150"/>
      <c r="G55" s="150"/>
      <c r="H55" s="151"/>
      <c r="I55" s="157">
        <v>40000</v>
      </c>
      <c r="J55" s="150"/>
      <c r="K55" s="150"/>
      <c r="L55" s="151"/>
      <c r="M55" s="157">
        <v>0</v>
      </c>
      <c r="N55" s="150"/>
      <c r="O55" s="150"/>
      <c r="P55" s="150"/>
      <c r="Q55" s="151"/>
      <c r="R55" s="157">
        <v>0</v>
      </c>
      <c r="S55" s="150"/>
      <c r="T55" s="150"/>
      <c r="U55" s="150"/>
      <c r="V55" s="151"/>
      <c r="W55" s="157">
        <v>0</v>
      </c>
      <c r="X55" s="150"/>
      <c r="Y55" s="150"/>
      <c r="Z55" s="151"/>
      <c r="AA55" s="157">
        <v>0</v>
      </c>
      <c r="AB55" s="150"/>
      <c r="AC55" s="150"/>
      <c r="AD55" s="151"/>
      <c r="AE55" s="157">
        <v>0</v>
      </c>
      <c r="AF55" s="150"/>
      <c r="AG55" s="150"/>
      <c r="AH55" s="150"/>
      <c r="AI55" s="151"/>
      <c r="AJ55" s="157">
        <v>0</v>
      </c>
      <c r="AK55" s="150"/>
      <c r="AL55" s="150"/>
      <c r="AM55" s="151"/>
      <c r="AN55" s="157">
        <v>0</v>
      </c>
      <c r="AO55" s="150"/>
      <c r="AP55" s="150"/>
      <c r="AQ55" s="150"/>
      <c r="AR55" s="151"/>
      <c r="AS55" s="157">
        <v>0</v>
      </c>
      <c r="AT55" s="150"/>
      <c r="AU55" s="150"/>
      <c r="AV55" s="150"/>
      <c r="AW55" s="151"/>
      <c r="AX55" s="157">
        <v>0</v>
      </c>
      <c r="AY55" s="150"/>
      <c r="AZ55" s="150"/>
      <c r="BA55" s="151"/>
      <c r="BB55" s="157">
        <v>0</v>
      </c>
      <c r="BC55" s="150"/>
      <c r="BD55" s="150"/>
      <c r="BE55" s="151"/>
      <c r="BG55" s="33">
        <f t="shared" si="12"/>
        <v>40000</v>
      </c>
      <c r="BH55" s="27"/>
      <c r="BI55" s="27"/>
      <c r="BJ55" s="88">
        <v>0</v>
      </c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Y55" s="31" t="s">
        <v>86</v>
      </c>
      <c r="BZ55" s="157">
        <v>0</v>
      </c>
      <c r="CA55" s="150"/>
      <c r="CB55" s="150"/>
      <c r="CC55" s="151"/>
      <c r="CD55" s="157">
        <v>0</v>
      </c>
      <c r="CE55" s="150"/>
      <c r="CF55" s="150"/>
      <c r="CG55" s="151"/>
      <c r="CH55" s="157">
        <v>0</v>
      </c>
      <c r="CI55" s="150"/>
      <c r="CJ55" s="150"/>
      <c r="CK55" s="150"/>
      <c r="CL55" s="151"/>
      <c r="CM55" s="157">
        <v>0</v>
      </c>
      <c r="CN55" s="150"/>
      <c r="CO55" s="150"/>
      <c r="CP55" s="150"/>
      <c r="CQ55" s="151"/>
      <c r="CR55" s="157">
        <v>39400</v>
      </c>
      <c r="CS55" s="150"/>
      <c r="CT55" s="150"/>
      <c r="CU55" s="151"/>
      <c r="CV55" s="157">
        <v>0</v>
      </c>
      <c r="CW55" s="150"/>
      <c r="CX55" s="150"/>
      <c r="CY55" s="151"/>
      <c r="CZ55" s="157">
        <v>0</v>
      </c>
      <c r="DA55" s="150"/>
      <c r="DB55" s="150"/>
      <c r="DC55" s="150"/>
      <c r="DD55" s="151"/>
      <c r="DE55" s="157">
        <v>0</v>
      </c>
      <c r="DF55" s="150"/>
      <c r="DG55" s="150"/>
      <c r="DH55" s="151"/>
      <c r="DI55" s="157">
        <v>0</v>
      </c>
      <c r="DJ55" s="150"/>
      <c r="DK55" s="150"/>
      <c r="DL55" s="150"/>
      <c r="DM55" s="151"/>
      <c r="DN55" s="157"/>
      <c r="DO55" s="150"/>
      <c r="DP55" s="150"/>
      <c r="DQ55" s="150"/>
      <c r="DR55" s="151"/>
      <c r="DS55" s="158"/>
      <c r="DT55" s="159"/>
      <c r="DU55" s="159"/>
      <c r="DV55" s="160"/>
      <c r="DW55" s="158"/>
      <c r="DX55" s="159"/>
      <c r="DY55" s="159"/>
      <c r="DZ55" s="160"/>
      <c r="EB55" s="33">
        <f t="shared" si="13"/>
        <v>39400</v>
      </c>
      <c r="EC55" s="27"/>
      <c r="ED55" s="27"/>
      <c r="EE55" s="88">
        <f t="shared" si="14"/>
        <v>-600</v>
      </c>
      <c r="EF55" s="27"/>
    </row>
    <row r="56" spans="4:136" ht="15" thickBot="1">
      <c r="D56" s="31" t="s">
        <v>87</v>
      </c>
      <c r="E56" s="157">
        <v>4500</v>
      </c>
      <c r="F56" s="150"/>
      <c r="G56" s="150"/>
      <c r="H56" s="151"/>
      <c r="I56" s="157">
        <v>5500</v>
      </c>
      <c r="J56" s="150"/>
      <c r="K56" s="150"/>
      <c r="L56" s="151"/>
      <c r="M56" s="157">
        <v>12000</v>
      </c>
      <c r="N56" s="150"/>
      <c r="O56" s="150"/>
      <c r="P56" s="150"/>
      <c r="Q56" s="151"/>
      <c r="R56" s="157">
        <v>2300</v>
      </c>
      <c r="S56" s="150"/>
      <c r="T56" s="150"/>
      <c r="U56" s="150"/>
      <c r="V56" s="151"/>
      <c r="W56" s="157">
        <v>0</v>
      </c>
      <c r="X56" s="150"/>
      <c r="Y56" s="150"/>
      <c r="Z56" s="151"/>
      <c r="AA56" s="157">
        <v>0</v>
      </c>
      <c r="AB56" s="150"/>
      <c r="AC56" s="150"/>
      <c r="AD56" s="151"/>
      <c r="AE56" s="157">
        <v>0</v>
      </c>
      <c r="AF56" s="150"/>
      <c r="AG56" s="150"/>
      <c r="AH56" s="150"/>
      <c r="AI56" s="151"/>
      <c r="AJ56" s="157">
        <v>0</v>
      </c>
      <c r="AK56" s="150"/>
      <c r="AL56" s="150"/>
      <c r="AM56" s="151"/>
      <c r="AN56" s="157">
        <v>5000</v>
      </c>
      <c r="AO56" s="150"/>
      <c r="AP56" s="150"/>
      <c r="AQ56" s="150"/>
      <c r="AR56" s="151"/>
      <c r="AS56" s="157">
        <v>0</v>
      </c>
      <c r="AT56" s="150"/>
      <c r="AU56" s="150"/>
      <c r="AV56" s="150"/>
      <c r="AW56" s="151"/>
      <c r="AX56" s="157">
        <v>0</v>
      </c>
      <c r="AY56" s="150"/>
      <c r="AZ56" s="150"/>
      <c r="BA56" s="151"/>
      <c r="BB56" s="157">
        <v>0</v>
      </c>
      <c r="BC56" s="150"/>
      <c r="BD56" s="150"/>
      <c r="BE56" s="151"/>
      <c r="BG56" s="33">
        <f t="shared" si="12"/>
        <v>29300</v>
      </c>
      <c r="BH56" s="27"/>
      <c r="BI56" s="27"/>
      <c r="BJ56" s="88">
        <v>146702.17000000001</v>
      </c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Y56" s="31" t="s">
        <v>87</v>
      </c>
      <c r="BZ56" s="157">
        <v>4460</v>
      </c>
      <c r="CA56" s="150"/>
      <c r="CB56" s="150"/>
      <c r="CC56" s="151"/>
      <c r="CD56" s="157">
        <v>0</v>
      </c>
      <c r="CE56" s="150"/>
      <c r="CF56" s="150"/>
      <c r="CG56" s="151"/>
      <c r="CH56" s="157">
        <v>5900</v>
      </c>
      <c r="CI56" s="150"/>
      <c r="CJ56" s="150"/>
      <c r="CK56" s="150"/>
      <c r="CL56" s="151"/>
      <c r="CM56" s="157">
        <v>0</v>
      </c>
      <c r="CN56" s="150"/>
      <c r="CO56" s="150"/>
      <c r="CP56" s="150"/>
      <c r="CQ56" s="151"/>
      <c r="CR56" s="157">
        <v>12000</v>
      </c>
      <c r="CS56" s="150"/>
      <c r="CT56" s="150"/>
      <c r="CU56" s="151"/>
      <c r="CV56" s="157">
        <v>1800</v>
      </c>
      <c r="CW56" s="150"/>
      <c r="CX56" s="150"/>
      <c r="CY56" s="151"/>
      <c r="CZ56" s="157">
        <v>0</v>
      </c>
      <c r="DA56" s="150"/>
      <c r="DB56" s="150"/>
      <c r="DC56" s="150"/>
      <c r="DD56" s="151"/>
      <c r="DE56" s="157">
        <v>0</v>
      </c>
      <c r="DF56" s="150"/>
      <c r="DG56" s="150"/>
      <c r="DH56" s="151"/>
      <c r="DI56" s="157">
        <v>0</v>
      </c>
      <c r="DJ56" s="150"/>
      <c r="DK56" s="150"/>
      <c r="DL56" s="150"/>
      <c r="DM56" s="151"/>
      <c r="DN56" s="157"/>
      <c r="DO56" s="150"/>
      <c r="DP56" s="150"/>
      <c r="DQ56" s="150"/>
      <c r="DR56" s="151"/>
      <c r="DS56" s="158"/>
      <c r="DT56" s="159"/>
      <c r="DU56" s="159"/>
      <c r="DV56" s="160"/>
      <c r="DW56" s="158">
        <v>2500</v>
      </c>
      <c r="DX56" s="159"/>
      <c r="DY56" s="159"/>
      <c r="DZ56" s="160"/>
      <c r="EB56" s="33">
        <f t="shared" si="13"/>
        <v>26660</v>
      </c>
      <c r="EC56" s="27"/>
      <c r="ED56" s="27"/>
      <c r="EE56" s="88">
        <f t="shared" si="14"/>
        <v>-2640</v>
      </c>
      <c r="EF56" s="27"/>
    </row>
    <row r="57" spans="4:136" ht="15" thickBot="1">
      <c r="D57" s="31" t="s">
        <v>88</v>
      </c>
      <c r="E57" s="89"/>
      <c r="F57" s="90"/>
      <c r="G57" s="90"/>
      <c r="H57" s="91"/>
      <c r="I57" s="89"/>
      <c r="J57" s="90"/>
      <c r="K57" s="90"/>
      <c r="L57" s="91"/>
      <c r="M57" s="89"/>
      <c r="N57" s="90"/>
      <c r="O57" s="90"/>
      <c r="P57" s="90"/>
      <c r="Q57" s="91"/>
      <c r="R57" s="89"/>
      <c r="S57" s="90"/>
      <c r="T57" s="90"/>
      <c r="U57" s="90"/>
      <c r="V57" s="91"/>
      <c r="W57" s="86"/>
      <c r="X57" s="69"/>
      <c r="Y57" s="69"/>
      <c r="Z57" s="70"/>
      <c r="AA57" s="86"/>
      <c r="AB57" s="69"/>
      <c r="AC57" s="69"/>
      <c r="AD57" s="70"/>
      <c r="AE57" s="86"/>
      <c r="AF57" s="69"/>
      <c r="AG57" s="69"/>
      <c r="AH57" s="69"/>
      <c r="AI57" s="70"/>
      <c r="AJ57" s="86"/>
      <c r="AK57" s="69"/>
      <c r="AL57" s="69"/>
      <c r="AM57" s="70"/>
      <c r="AN57" s="86"/>
      <c r="AO57" s="69"/>
      <c r="AP57" s="69"/>
      <c r="AQ57" s="69"/>
      <c r="AR57" s="70"/>
      <c r="AS57" s="86"/>
      <c r="AT57" s="69"/>
      <c r="AU57" s="69"/>
      <c r="AV57" s="69"/>
      <c r="AW57" s="70"/>
      <c r="AX57" s="157">
        <v>50000</v>
      </c>
      <c r="AY57" s="150"/>
      <c r="AZ57" s="150"/>
      <c r="BA57" s="151"/>
      <c r="BB57" s="86"/>
      <c r="BC57" s="69"/>
      <c r="BD57" s="69"/>
      <c r="BE57" s="70"/>
      <c r="BG57" s="33">
        <f t="shared" si="12"/>
        <v>50000</v>
      </c>
      <c r="BH57" s="27"/>
      <c r="BI57" s="27"/>
      <c r="BJ57" s="88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Y57" s="31" t="s">
        <v>88</v>
      </c>
      <c r="BZ57" s="89"/>
      <c r="CA57" s="90"/>
      <c r="CB57" s="90"/>
      <c r="CC57" s="91"/>
      <c r="CD57" s="89"/>
      <c r="CE57" s="90"/>
      <c r="CF57" s="90"/>
      <c r="CG57" s="91"/>
      <c r="CH57" s="89"/>
      <c r="CI57" s="90"/>
      <c r="CJ57" s="90"/>
      <c r="CK57" s="90"/>
      <c r="CL57" s="91"/>
      <c r="CM57" s="89"/>
      <c r="CN57" s="90"/>
      <c r="CO57" s="90"/>
      <c r="CP57" s="90"/>
      <c r="CQ57" s="91"/>
      <c r="CR57" s="89"/>
      <c r="CS57" s="90"/>
      <c r="CT57" s="90"/>
      <c r="CU57" s="91"/>
      <c r="CV57" s="89"/>
      <c r="CW57" s="90"/>
      <c r="CX57" s="90"/>
      <c r="CY57" s="91"/>
      <c r="CZ57" s="89"/>
      <c r="DA57" s="90"/>
      <c r="DB57" s="90"/>
      <c r="DC57" s="90"/>
      <c r="DD57" s="91"/>
      <c r="DE57" s="89">
        <v>2500</v>
      </c>
      <c r="DF57" s="90"/>
      <c r="DG57" s="90"/>
      <c r="DH57" s="91"/>
      <c r="DI57" s="106">
        <v>0</v>
      </c>
      <c r="DJ57" s="107"/>
      <c r="DK57" s="107"/>
      <c r="DL57" s="107"/>
      <c r="DM57" s="108"/>
      <c r="DN57" s="89"/>
      <c r="DO57" s="90"/>
      <c r="DP57" s="90"/>
      <c r="DQ57" s="90"/>
      <c r="DR57" s="91"/>
      <c r="DS57" s="158">
        <v>40322</v>
      </c>
      <c r="DT57" s="159"/>
      <c r="DU57" s="159"/>
      <c r="DV57" s="160"/>
      <c r="DW57" s="109"/>
      <c r="DX57" s="110"/>
      <c r="DY57" s="110"/>
      <c r="DZ57" s="111"/>
      <c r="EB57" s="33">
        <f t="shared" si="13"/>
        <v>42822</v>
      </c>
      <c r="EC57" s="27"/>
      <c r="ED57" s="27"/>
      <c r="EE57" s="88">
        <f t="shared" si="14"/>
        <v>-7178</v>
      </c>
      <c r="EF57" s="27"/>
    </row>
    <row r="58" spans="4:136" ht="15" thickBot="1">
      <c r="D58" s="31" t="s">
        <v>89</v>
      </c>
      <c r="E58" s="157">
        <v>10055.93</v>
      </c>
      <c r="F58" s="162"/>
      <c r="G58" s="162"/>
      <c r="H58" s="166"/>
      <c r="I58" s="157">
        <v>0</v>
      </c>
      <c r="J58" s="162"/>
      <c r="K58" s="162"/>
      <c r="L58" s="166"/>
      <c r="M58" s="157">
        <v>0</v>
      </c>
      <c r="N58" s="162"/>
      <c r="O58" s="162"/>
      <c r="P58" s="162"/>
      <c r="Q58" s="166"/>
      <c r="R58" s="157">
        <v>3846.68</v>
      </c>
      <c r="S58" s="162"/>
      <c r="T58" s="162"/>
      <c r="U58" s="162"/>
      <c r="V58" s="166"/>
      <c r="W58" s="157">
        <v>45000</v>
      </c>
      <c r="X58" s="162"/>
      <c r="Y58" s="162"/>
      <c r="Z58" s="166"/>
      <c r="AA58" s="157">
        <v>5000</v>
      </c>
      <c r="AB58" s="162"/>
      <c r="AC58" s="162"/>
      <c r="AD58" s="166"/>
      <c r="AE58" s="157">
        <v>5000</v>
      </c>
      <c r="AF58" s="162"/>
      <c r="AG58" s="162"/>
      <c r="AH58" s="162"/>
      <c r="AI58" s="166"/>
      <c r="AJ58" s="157">
        <v>0</v>
      </c>
      <c r="AK58" s="162"/>
      <c r="AL58" s="162"/>
      <c r="AM58" s="166"/>
      <c r="AN58" s="187">
        <v>5000</v>
      </c>
      <c r="AO58" s="188"/>
      <c r="AP58" s="188"/>
      <c r="AQ58" s="188"/>
      <c r="AR58" s="189"/>
      <c r="AS58" s="157">
        <v>0</v>
      </c>
      <c r="AT58" s="162"/>
      <c r="AU58" s="162"/>
      <c r="AV58" s="162"/>
      <c r="AW58" s="166"/>
      <c r="AX58" s="157">
        <v>5000</v>
      </c>
      <c r="AY58" s="162"/>
      <c r="AZ58" s="162"/>
      <c r="BA58" s="166"/>
      <c r="BB58" s="157">
        <v>0</v>
      </c>
      <c r="BC58" s="162"/>
      <c r="BD58" s="162"/>
      <c r="BE58" s="166"/>
      <c r="BG58" s="33">
        <f t="shared" si="12"/>
        <v>78902.61</v>
      </c>
      <c r="BH58" s="27"/>
      <c r="BI58" s="27"/>
      <c r="BJ58" s="88">
        <v>106846.76</v>
      </c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Y58" s="31" t="s">
        <v>89</v>
      </c>
      <c r="BZ58" s="157">
        <v>10055.93</v>
      </c>
      <c r="CA58" s="162"/>
      <c r="CB58" s="162"/>
      <c r="CC58" s="166"/>
      <c r="CD58" s="157">
        <v>0</v>
      </c>
      <c r="CE58" s="162"/>
      <c r="CF58" s="162"/>
      <c r="CG58" s="166"/>
      <c r="CH58" s="157">
        <v>0</v>
      </c>
      <c r="CI58" s="162"/>
      <c r="CJ58" s="162"/>
      <c r="CK58" s="162"/>
      <c r="CL58" s="166"/>
      <c r="CM58" s="157">
        <v>0</v>
      </c>
      <c r="CN58" s="162"/>
      <c r="CO58" s="162"/>
      <c r="CP58" s="162"/>
      <c r="CQ58" s="166"/>
      <c r="CR58" s="157">
        <v>31289.81</v>
      </c>
      <c r="CS58" s="162"/>
      <c r="CT58" s="162"/>
      <c r="CU58" s="166"/>
      <c r="CV58" s="157">
        <v>9601.86</v>
      </c>
      <c r="CW58" s="162"/>
      <c r="CX58" s="162"/>
      <c r="CY58" s="166"/>
      <c r="CZ58" s="157">
        <v>0</v>
      </c>
      <c r="DA58" s="162"/>
      <c r="DB58" s="162"/>
      <c r="DC58" s="162"/>
      <c r="DD58" s="166"/>
      <c r="DE58" s="157">
        <v>0</v>
      </c>
      <c r="DF58" s="162"/>
      <c r="DG58" s="162"/>
      <c r="DH58" s="166"/>
      <c r="DI58" s="187">
        <v>19914.93</v>
      </c>
      <c r="DJ58" s="188"/>
      <c r="DK58" s="188"/>
      <c r="DL58" s="188"/>
      <c r="DM58" s="189"/>
      <c r="DN58" s="157"/>
      <c r="DO58" s="162"/>
      <c r="DP58" s="162"/>
      <c r="DQ58" s="162"/>
      <c r="DR58" s="166"/>
      <c r="DS58" s="158">
        <v>2906.55</v>
      </c>
      <c r="DT58" s="167"/>
      <c r="DU58" s="167"/>
      <c r="DV58" s="168"/>
      <c r="DW58" s="158"/>
      <c r="DX58" s="167"/>
      <c r="DY58" s="167"/>
      <c r="DZ58" s="168"/>
      <c r="EB58" s="33">
        <f t="shared" si="13"/>
        <v>73769.08</v>
      </c>
      <c r="EC58" s="27"/>
      <c r="ED58" s="27"/>
      <c r="EE58" s="88">
        <f t="shared" si="14"/>
        <v>-5133.5299999999988</v>
      </c>
      <c r="EF58" s="27"/>
    </row>
    <row r="59" spans="4:136" ht="15" thickBot="1">
      <c r="D59" s="31" t="s">
        <v>90</v>
      </c>
      <c r="E59" s="157">
        <v>0</v>
      </c>
      <c r="F59" s="150"/>
      <c r="G59" s="150"/>
      <c r="H59" s="151"/>
      <c r="I59" s="157">
        <v>0</v>
      </c>
      <c r="J59" s="150"/>
      <c r="K59" s="150"/>
      <c r="L59" s="151"/>
      <c r="M59" s="157">
        <v>0</v>
      </c>
      <c r="N59" s="150"/>
      <c r="O59" s="150"/>
      <c r="P59" s="150"/>
      <c r="Q59" s="151"/>
      <c r="R59" s="157">
        <v>0</v>
      </c>
      <c r="S59" s="150"/>
      <c r="T59" s="150"/>
      <c r="U59" s="150"/>
      <c r="V59" s="151"/>
      <c r="W59" s="157">
        <v>0</v>
      </c>
      <c r="X59" s="150"/>
      <c r="Y59" s="150"/>
      <c r="Z59" s="151"/>
      <c r="AA59" s="157">
        <v>3271.46</v>
      </c>
      <c r="AB59" s="150"/>
      <c r="AC59" s="150"/>
      <c r="AD59" s="151"/>
      <c r="AE59" s="157">
        <v>5000</v>
      </c>
      <c r="AF59" s="150"/>
      <c r="AG59" s="150"/>
      <c r="AH59" s="150"/>
      <c r="AI59" s="151"/>
      <c r="AJ59" s="157">
        <v>3000</v>
      </c>
      <c r="AK59" s="150"/>
      <c r="AL59" s="150"/>
      <c r="AM59" s="151"/>
      <c r="AN59" s="157">
        <v>4235.8900000000003</v>
      </c>
      <c r="AO59" s="150"/>
      <c r="AP59" s="150"/>
      <c r="AQ59" s="150"/>
      <c r="AR59" s="151"/>
      <c r="AS59" s="157">
        <v>1576.01</v>
      </c>
      <c r="AT59" s="150"/>
      <c r="AU59" s="150"/>
      <c r="AV59" s="150"/>
      <c r="AW59" s="151"/>
      <c r="AX59" s="157">
        <v>0</v>
      </c>
      <c r="AY59" s="150"/>
      <c r="AZ59" s="150"/>
      <c r="BA59" s="151"/>
      <c r="BB59" s="157">
        <v>1500</v>
      </c>
      <c r="BC59" s="150"/>
      <c r="BD59" s="150"/>
      <c r="BE59" s="151"/>
      <c r="BG59" s="33">
        <f>SUM(E59:BE59)</f>
        <v>18583.359999999997</v>
      </c>
      <c r="BH59" s="27"/>
      <c r="BI59" s="27"/>
      <c r="BJ59" s="88">
        <v>30006.400000000001</v>
      </c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Y59" s="31" t="s">
        <v>90</v>
      </c>
      <c r="BZ59" s="157">
        <v>0</v>
      </c>
      <c r="CA59" s="150"/>
      <c r="CB59" s="150"/>
      <c r="CC59" s="151"/>
      <c r="CD59" s="157">
        <v>0</v>
      </c>
      <c r="CE59" s="150"/>
      <c r="CF59" s="150"/>
      <c r="CG59" s="151"/>
      <c r="CH59" s="157">
        <v>0</v>
      </c>
      <c r="CI59" s="150"/>
      <c r="CJ59" s="150"/>
      <c r="CK59" s="150"/>
      <c r="CL59" s="151"/>
      <c r="CM59" s="157">
        <v>1781.53</v>
      </c>
      <c r="CN59" s="150"/>
      <c r="CO59" s="150"/>
      <c r="CP59" s="150"/>
      <c r="CQ59" s="151"/>
      <c r="CR59" s="157">
        <v>0</v>
      </c>
      <c r="CS59" s="150"/>
      <c r="CT59" s="150"/>
      <c r="CU59" s="151"/>
      <c r="CV59" s="157">
        <v>14527.28</v>
      </c>
      <c r="CW59" s="150"/>
      <c r="CX59" s="150"/>
      <c r="CY59" s="151"/>
      <c r="CZ59" s="157">
        <v>1641.1</v>
      </c>
      <c r="DA59" s="150"/>
      <c r="DB59" s="150"/>
      <c r="DC59" s="150"/>
      <c r="DD59" s="151"/>
      <c r="DE59" s="157">
        <v>7968.71</v>
      </c>
      <c r="DF59" s="150"/>
      <c r="DG59" s="150"/>
      <c r="DH59" s="151"/>
      <c r="DI59" s="157">
        <v>5379.28</v>
      </c>
      <c r="DJ59" s="150"/>
      <c r="DK59" s="150"/>
      <c r="DL59" s="150"/>
      <c r="DM59" s="151"/>
      <c r="DN59" s="157">
        <v>1821.53</v>
      </c>
      <c r="DO59" s="150"/>
      <c r="DP59" s="150"/>
      <c r="DQ59" s="150"/>
      <c r="DR59" s="151"/>
      <c r="DS59" s="158">
        <v>1568.95</v>
      </c>
      <c r="DT59" s="159"/>
      <c r="DU59" s="159"/>
      <c r="DV59" s="160"/>
      <c r="DW59" s="158"/>
      <c r="DX59" s="159"/>
      <c r="DY59" s="159"/>
      <c r="DZ59" s="160"/>
      <c r="EB59" s="33">
        <f t="shared" si="13"/>
        <v>34688.379999999997</v>
      </c>
      <c r="EC59" s="27"/>
      <c r="ED59" s="27"/>
      <c r="EE59" s="88">
        <f t="shared" si="14"/>
        <v>16105.02</v>
      </c>
      <c r="EF59" s="27"/>
    </row>
    <row r="60" spans="4:136" ht="15" thickBot="1">
      <c r="D60" s="31" t="s">
        <v>91</v>
      </c>
      <c r="E60" s="157">
        <v>0</v>
      </c>
      <c r="F60" s="150"/>
      <c r="G60" s="150"/>
      <c r="H60" s="151"/>
      <c r="I60" s="157">
        <v>0</v>
      </c>
      <c r="J60" s="150"/>
      <c r="K60" s="150"/>
      <c r="L60" s="151"/>
      <c r="M60" s="157">
        <v>0</v>
      </c>
      <c r="N60" s="150"/>
      <c r="O60" s="150"/>
      <c r="P60" s="150"/>
      <c r="Q60" s="151"/>
      <c r="R60" s="157">
        <v>1000</v>
      </c>
      <c r="S60" s="150"/>
      <c r="T60" s="150"/>
      <c r="U60" s="150"/>
      <c r="V60" s="151"/>
      <c r="W60" s="157">
        <v>1000</v>
      </c>
      <c r="X60" s="150"/>
      <c r="Y60" s="150"/>
      <c r="Z60" s="151"/>
      <c r="AA60" s="157">
        <v>3500</v>
      </c>
      <c r="AB60" s="150"/>
      <c r="AC60" s="150"/>
      <c r="AD60" s="151"/>
      <c r="AE60" s="157">
        <v>3500</v>
      </c>
      <c r="AF60" s="150"/>
      <c r="AG60" s="150"/>
      <c r="AH60" s="150"/>
      <c r="AI60" s="151"/>
      <c r="AJ60" s="157">
        <v>0</v>
      </c>
      <c r="AK60" s="150"/>
      <c r="AL60" s="150"/>
      <c r="AM60" s="151"/>
      <c r="AN60" s="157">
        <v>3500</v>
      </c>
      <c r="AO60" s="150"/>
      <c r="AP60" s="150"/>
      <c r="AQ60" s="150"/>
      <c r="AR60" s="151"/>
      <c r="AS60" s="157">
        <v>0</v>
      </c>
      <c r="AT60" s="150"/>
      <c r="AU60" s="150"/>
      <c r="AV60" s="150"/>
      <c r="AW60" s="151"/>
      <c r="AX60" s="157">
        <v>1000</v>
      </c>
      <c r="AY60" s="150"/>
      <c r="AZ60" s="150"/>
      <c r="BA60" s="151"/>
      <c r="BB60" s="157">
        <v>0</v>
      </c>
      <c r="BC60" s="150"/>
      <c r="BD60" s="150"/>
      <c r="BE60" s="151"/>
      <c r="BG60" s="33">
        <f t="shared" si="12"/>
        <v>13500</v>
      </c>
      <c r="BH60" s="27"/>
      <c r="BI60" s="27"/>
      <c r="BJ60" s="88">
        <v>14530.74</v>
      </c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Y60" s="31" t="s">
        <v>91</v>
      </c>
      <c r="BZ60" s="157">
        <v>0</v>
      </c>
      <c r="CA60" s="150"/>
      <c r="CB60" s="150"/>
      <c r="CC60" s="151"/>
      <c r="CD60" s="157">
        <v>0</v>
      </c>
      <c r="CE60" s="150"/>
      <c r="CF60" s="150"/>
      <c r="CG60" s="151"/>
      <c r="CH60" s="157">
        <v>0</v>
      </c>
      <c r="CI60" s="150"/>
      <c r="CJ60" s="150"/>
      <c r="CK60" s="150"/>
      <c r="CL60" s="151"/>
      <c r="CM60" s="157">
        <v>0</v>
      </c>
      <c r="CN60" s="150"/>
      <c r="CO60" s="150"/>
      <c r="CP60" s="150"/>
      <c r="CQ60" s="151"/>
      <c r="CR60" s="157">
        <v>602</v>
      </c>
      <c r="CS60" s="150"/>
      <c r="CT60" s="150"/>
      <c r="CU60" s="151"/>
      <c r="CV60" s="157">
        <v>1806</v>
      </c>
      <c r="CW60" s="150"/>
      <c r="CX60" s="150"/>
      <c r="CY60" s="151"/>
      <c r="CZ60" s="157">
        <v>0</v>
      </c>
      <c r="DA60" s="150"/>
      <c r="DB60" s="150"/>
      <c r="DC60" s="150"/>
      <c r="DD60" s="151"/>
      <c r="DE60" s="157">
        <v>0</v>
      </c>
      <c r="DF60" s="150"/>
      <c r="DG60" s="150"/>
      <c r="DH60" s="151"/>
      <c r="DI60" s="157">
        <v>1204</v>
      </c>
      <c r="DJ60" s="150"/>
      <c r="DK60" s="150"/>
      <c r="DL60" s="150"/>
      <c r="DM60" s="151"/>
      <c r="DN60" s="157"/>
      <c r="DO60" s="150"/>
      <c r="DP60" s="150"/>
      <c r="DQ60" s="150"/>
      <c r="DR60" s="151"/>
      <c r="DS60" s="158">
        <v>602</v>
      </c>
      <c r="DT60" s="159"/>
      <c r="DU60" s="159"/>
      <c r="DV60" s="160"/>
      <c r="DW60" s="158"/>
      <c r="DX60" s="159"/>
      <c r="DY60" s="159"/>
      <c r="DZ60" s="160"/>
      <c r="EB60" s="33">
        <f t="shared" si="13"/>
        <v>4214</v>
      </c>
      <c r="EC60" s="27"/>
      <c r="ED60" s="27"/>
      <c r="EE60" s="88">
        <f t="shared" si="14"/>
        <v>-9286</v>
      </c>
      <c r="EF60" s="27"/>
    </row>
    <row r="61" spans="4:136" ht="15" thickBot="1">
      <c r="D61" s="37" t="s">
        <v>92</v>
      </c>
      <c r="E61" s="157">
        <v>20295</v>
      </c>
      <c r="F61" s="150"/>
      <c r="G61" s="150"/>
      <c r="H61" s="151"/>
      <c r="I61" s="157">
        <v>20295</v>
      </c>
      <c r="J61" s="150"/>
      <c r="K61" s="150"/>
      <c r="L61" s="151"/>
      <c r="M61" s="157">
        <v>20295</v>
      </c>
      <c r="N61" s="150"/>
      <c r="O61" s="150"/>
      <c r="P61" s="150"/>
      <c r="Q61" s="151"/>
      <c r="R61" s="157">
        <v>20295</v>
      </c>
      <c r="S61" s="150"/>
      <c r="T61" s="150"/>
      <c r="U61" s="150"/>
      <c r="V61" s="151"/>
      <c r="W61" s="157">
        <v>20295</v>
      </c>
      <c r="X61" s="150"/>
      <c r="Y61" s="150"/>
      <c r="Z61" s="151"/>
      <c r="AA61" s="157">
        <v>20295</v>
      </c>
      <c r="AB61" s="150"/>
      <c r="AC61" s="150"/>
      <c r="AD61" s="151"/>
      <c r="AE61" s="157">
        <v>20295</v>
      </c>
      <c r="AF61" s="150"/>
      <c r="AG61" s="150"/>
      <c r="AH61" s="150"/>
      <c r="AI61" s="151"/>
      <c r="AJ61" s="157">
        <v>20295</v>
      </c>
      <c r="AK61" s="150"/>
      <c r="AL61" s="150"/>
      <c r="AM61" s="151"/>
      <c r="AN61" s="157">
        <v>20295</v>
      </c>
      <c r="AO61" s="150"/>
      <c r="AP61" s="150"/>
      <c r="AQ61" s="150"/>
      <c r="AR61" s="151"/>
      <c r="AS61" s="157">
        <v>20295</v>
      </c>
      <c r="AT61" s="150"/>
      <c r="AU61" s="150"/>
      <c r="AV61" s="150"/>
      <c r="AW61" s="151"/>
      <c r="AX61" s="157">
        <v>20295</v>
      </c>
      <c r="AY61" s="150"/>
      <c r="AZ61" s="150"/>
      <c r="BA61" s="151"/>
      <c r="BB61" s="157">
        <v>20295</v>
      </c>
      <c r="BC61" s="150"/>
      <c r="BD61" s="150"/>
      <c r="BE61" s="151"/>
      <c r="BG61" s="33">
        <f t="shared" si="12"/>
        <v>243540</v>
      </c>
      <c r="BH61" s="27"/>
      <c r="BI61" s="27"/>
      <c r="BJ61" s="88">
        <v>238771.8</v>
      </c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Y61" s="37" t="s">
        <v>92</v>
      </c>
      <c r="BZ61" s="157">
        <v>20295</v>
      </c>
      <c r="CA61" s="150"/>
      <c r="CB61" s="150"/>
      <c r="CC61" s="151"/>
      <c r="CD61" s="157">
        <v>20295</v>
      </c>
      <c r="CE61" s="150"/>
      <c r="CF61" s="150"/>
      <c r="CG61" s="151"/>
      <c r="CH61" s="157">
        <v>20295</v>
      </c>
      <c r="CI61" s="150"/>
      <c r="CJ61" s="150"/>
      <c r="CK61" s="150"/>
      <c r="CL61" s="151"/>
      <c r="CM61" s="157">
        <v>20295</v>
      </c>
      <c r="CN61" s="150"/>
      <c r="CO61" s="150"/>
      <c r="CP61" s="150"/>
      <c r="CQ61" s="151"/>
      <c r="CR61" s="157">
        <v>20295</v>
      </c>
      <c r="CS61" s="150"/>
      <c r="CT61" s="150"/>
      <c r="CU61" s="151"/>
      <c r="CV61" s="157">
        <v>20295</v>
      </c>
      <c r="CW61" s="150"/>
      <c r="CX61" s="150"/>
      <c r="CY61" s="151"/>
      <c r="CZ61" s="157">
        <v>20295</v>
      </c>
      <c r="DA61" s="150"/>
      <c r="DB61" s="150"/>
      <c r="DC61" s="150"/>
      <c r="DD61" s="151"/>
      <c r="DE61" s="157">
        <v>20295</v>
      </c>
      <c r="DF61" s="150"/>
      <c r="DG61" s="150"/>
      <c r="DH61" s="151"/>
      <c r="DI61" s="157">
        <v>20295</v>
      </c>
      <c r="DJ61" s="150"/>
      <c r="DK61" s="150"/>
      <c r="DL61" s="150"/>
      <c r="DM61" s="151"/>
      <c r="DN61" s="157">
        <v>20295</v>
      </c>
      <c r="DO61" s="150"/>
      <c r="DP61" s="150"/>
      <c r="DQ61" s="150"/>
      <c r="DR61" s="151"/>
      <c r="DS61" s="158">
        <v>20295</v>
      </c>
      <c r="DT61" s="159"/>
      <c r="DU61" s="159"/>
      <c r="DV61" s="160"/>
      <c r="DW61" s="158">
        <v>20295</v>
      </c>
      <c r="DX61" s="159"/>
      <c r="DY61" s="159"/>
      <c r="DZ61" s="160"/>
      <c r="EB61" s="33">
        <f t="shared" si="13"/>
        <v>243540</v>
      </c>
      <c r="EC61" s="27"/>
      <c r="ED61" s="27"/>
      <c r="EE61" s="88">
        <f t="shared" si="14"/>
        <v>0</v>
      </c>
      <c r="EF61" s="27"/>
    </row>
    <row r="62" spans="4:136" ht="18.95" thickBot="1">
      <c r="D62" s="41" t="s">
        <v>93</v>
      </c>
      <c r="E62" s="112">
        <f>SUM(E52:E61)</f>
        <v>40540.017435000002</v>
      </c>
      <c r="F62" s="150"/>
      <c r="G62" s="150"/>
      <c r="H62" s="151"/>
      <c r="I62" s="112">
        <f>SUM(I52:I61)</f>
        <v>169973.63750000001</v>
      </c>
      <c r="J62" s="150"/>
      <c r="K62" s="150"/>
      <c r="L62" s="151"/>
      <c r="M62" s="112">
        <f>SUM(M52:M61)</f>
        <v>44133.737500000003</v>
      </c>
      <c r="N62" s="150"/>
      <c r="O62" s="150"/>
      <c r="P62" s="150"/>
      <c r="Q62" s="151"/>
      <c r="R62" s="112">
        <f>SUM(R52:R61)</f>
        <v>64348.424380000004</v>
      </c>
      <c r="S62" s="150"/>
      <c r="T62" s="150"/>
      <c r="U62" s="150"/>
      <c r="V62" s="151"/>
      <c r="W62" s="112">
        <f>SUM(W52:W61)</f>
        <v>120271.25</v>
      </c>
      <c r="X62" s="150"/>
      <c r="Y62" s="150"/>
      <c r="Z62" s="151"/>
      <c r="AA62" s="112">
        <f>SUM(AA52:AA61)</f>
        <v>110251.4657575</v>
      </c>
      <c r="AB62" s="150"/>
      <c r="AC62" s="150"/>
      <c r="AD62" s="151"/>
      <c r="AE62" s="112">
        <f>SUM(AE52:AE61)</f>
        <v>87816.044190000001</v>
      </c>
      <c r="AF62" s="150"/>
      <c r="AG62" s="150"/>
      <c r="AH62" s="150"/>
      <c r="AI62" s="151"/>
      <c r="AJ62" s="112">
        <f>SUM(AJ52:AJ61)</f>
        <v>49504.384139999995</v>
      </c>
      <c r="AK62" s="150"/>
      <c r="AL62" s="150"/>
      <c r="AM62" s="151"/>
      <c r="AN62" s="112">
        <f>SUM(AN52:AN61)</f>
        <v>101264.80138249999</v>
      </c>
      <c r="AO62" s="150"/>
      <c r="AP62" s="150"/>
      <c r="AQ62" s="150"/>
      <c r="AR62" s="151"/>
      <c r="AS62" s="112">
        <f>SUM(AS52:AS61)</f>
        <v>39673.71948</v>
      </c>
      <c r="AT62" s="150"/>
      <c r="AU62" s="150"/>
      <c r="AV62" s="150"/>
      <c r="AW62" s="151"/>
      <c r="AX62" s="112">
        <f>SUM(AX52:AX61)</f>
        <v>117916.25</v>
      </c>
      <c r="AY62" s="150"/>
      <c r="AZ62" s="150"/>
      <c r="BA62" s="151"/>
      <c r="BB62" s="112">
        <f>SUM(BB52:BB61)</f>
        <v>35028.694575000001</v>
      </c>
      <c r="BC62" s="150"/>
      <c r="BD62" s="150"/>
      <c r="BE62" s="151"/>
      <c r="BG62" s="33">
        <f t="shared" si="12"/>
        <v>980722.42633999989</v>
      </c>
      <c r="BH62" s="63"/>
      <c r="BI62" s="63"/>
      <c r="BJ62" s="51">
        <f>SUM(BJ52:BJ61)</f>
        <v>1053183.4000000001</v>
      </c>
      <c r="BK62" s="63"/>
      <c r="BL62" s="63"/>
      <c r="BM62" s="63"/>
      <c r="BN62" s="63"/>
      <c r="BO62" s="63"/>
      <c r="BP62" s="63"/>
      <c r="BQ62" s="63"/>
      <c r="BR62" s="63"/>
      <c r="BS62" s="63"/>
      <c r="BT62" s="63"/>
      <c r="BU62" s="63"/>
      <c r="BV62" s="63"/>
      <c r="BY62" s="41" t="s">
        <v>93</v>
      </c>
      <c r="BZ62" s="112">
        <f>SUM(BZ52:BZ61)</f>
        <v>40450.959999999999</v>
      </c>
      <c r="CA62" s="150"/>
      <c r="CB62" s="150"/>
      <c r="CC62" s="151"/>
      <c r="CD62" s="112">
        <f>SUM(CD52:CD61)</f>
        <v>50039.605047500001</v>
      </c>
      <c r="CE62" s="150"/>
      <c r="CF62" s="150"/>
      <c r="CG62" s="151"/>
      <c r="CH62" s="112">
        <f>SUM(CH52:CH61)</f>
        <v>113082.56</v>
      </c>
      <c r="CI62" s="150"/>
      <c r="CJ62" s="150"/>
      <c r="CK62" s="150"/>
      <c r="CL62" s="151"/>
      <c r="CM62" s="112">
        <f>SUM(CM52:CM61)</f>
        <v>39649.729999999996</v>
      </c>
      <c r="CN62" s="150"/>
      <c r="CO62" s="150"/>
      <c r="CP62" s="150"/>
      <c r="CQ62" s="151"/>
      <c r="CR62" s="112">
        <f>SUM(CR52:CR61)</f>
        <v>143549.81</v>
      </c>
      <c r="CS62" s="150"/>
      <c r="CT62" s="150"/>
      <c r="CU62" s="151"/>
      <c r="CV62" s="112">
        <f>SUM(CV52:CV61)</f>
        <v>148071.69</v>
      </c>
      <c r="CW62" s="150"/>
      <c r="CX62" s="150"/>
      <c r="CY62" s="151"/>
      <c r="CZ62" s="112">
        <f>SUM(CZ52:CZ61)</f>
        <v>67271.64</v>
      </c>
      <c r="DA62" s="150"/>
      <c r="DB62" s="150"/>
      <c r="DC62" s="150"/>
      <c r="DD62" s="151"/>
      <c r="DE62" s="112">
        <f>SUM(DE52:DE61)</f>
        <v>73533.790000000008</v>
      </c>
      <c r="DF62" s="150"/>
      <c r="DG62" s="150"/>
      <c r="DH62" s="151"/>
      <c r="DI62" s="112">
        <f>SUM(DI52:DI61)</f>
        <v>104204.19</v>
      </c>
      <c r="DJ62" s="150"/>
      <c r="DK62" s="150"/>
      <c r="DL62" s="150"/>
      <c r="DM62" s="151"/>
      <c r="DN62" s="112">
        <f>SUM(DN52:DN61)</f>
        <v>38466.869999999995</v>
      </c>
      <c r="DO62" s="150"/>
      <c r="DP62" s="150"/>
      <c r="DQ62" s="150"/>
      <c r="DR62" s="151"/>
      <c r="DS62" s="102">
        <f>SUM(DS52:DS61)</f>
        <v>102702.98775500001</v>
      </c>
      <c r="DT62" s="159"/>
      <c r="DU62" s="159"/>
      <c r="DV62" s="160"/>
      <c r="DW62" s="102">
        <f>SUM(DW52:DW61)</f>
        <v>30793.321655</v>
      </c>
      <c r="DX62" s="159"/>
      <c r="DY62" s="159"/>
      <c r="DZ62" s="160"/>
      <c r="EB62" s="33">
        <f>SUM(BZ62:DZ62)</f>
        <v>951817.15445750009</v>
      </c>
      <c r="EC62" s="63"/>
      <c r="ED62" s="63"/>
      <c r="EE62" s="51">
        <f>SUM(EE52:EE61)</f>
        <v>-28905.271882499906</v>
      </c>
      <c r="EF62" s="63"/>
    </row>
    <row r="64" spans="4:136" ht="15.75" customHeight="1" thickBot="1"/>
    <row r="65" spans="4:141" ht="18.95" thickBot="1">
      <c r="D65" s="41" t="s">
        <v>94</v>
      </c>
      <c r="E65" s="112">
        <f>E62+E40</f>
        <v>105005.597435</v>
      </c>
      <c r="F65" s="150"/>
      <c r="G65" s="150"/>
      <c r="H65" s="151"/>
      <c r="I65" s="112">
        <f>I62+I40</f>
        <v>217323.63750000001</v>
      </c>
      <c r="J65" s="150"/>
      <c r="K65" s="150"/>
      <c r="L65" s="151"/>
      <c r="M65" s="112">
        <f>M62+M40</f>
        <v>178283.73749999999</v>
      </c>
      <c r="N65" s="150"/>
      <c r="O65" s="150"/>
      <c r="P65" s="150"/>
      <c r="Q65" s="151"/>
      <c r="R65" s="112">
        <f>R62+R40</f>
        <v>255926.26438000001</v>
      </c>
      <c r="S65" s="150"/>
      <c r="T65" s="150"/>
      <c r="U65" s="150"/>
      <c r="V65" s="151"/>
      <c r="W65" s="112">
        <f>W62+W40</f>
        <v>522167.25</v>
      </c>
      <c r="X65" s="150"/>
      <c r="Y65" s="150"/>
      <c r="Z65" s="151"/>
      <c r="AA65" s="112">
        <f>AA62+AA40</f>
        <v>727814.97575750004</v>
      </c>
      <c r="AB65" s="150"/>
      <c r="AC65" s="150"/>
      <c r="AD65" s="151"/>
      <c r="AE65" s="112">
        <f>AE62+AE40</f>
        <v>634662.96419000009</v>
      </c>
      <c r="AF65" s="150"/>
      <c r="AG65" s="150"/>
      <c r="AH65" s="150"/>
      <c r="AI65" s="151"/>
      <c r="AJ65" s="112">
        <f>AJ62+AJ40</f>
        <v>295617.90414</v>
      </c>
      <c r="AK65" s="150"/>
      <c r="AL65" s="150"/>
      <c r="AM65" s="151"/>
      <c r="AN65" s="112">
        <f>AN62+AO40+AN40</f>
        <v>530978.81138249999</v>
      </c>
      <c r="AO65" s="150"/>
      <c r="AP65" s="150"/>
      <c r="AQ65" s="150"/>
      <c r="AR65" s="151"/>
      <c r="AS65" s="112">
        <f>AS62+AS40</f>
        <v>196078.35948000001</v>
      </c>
      <c r="AT65" s="150"/>
      <c r="AU65" s="150"/>
      <c r="AV65" s="150"/>
      <c r="AW65" s="151"/>
      <c r="AX65" s="112">
        <f>AX62+AX40</f>
        <v>371166.25</v>
      </c>
      <c r="AY65" s="150"/>
      <c r="AZ65" s="150"/>
      <c r="BA65" s="151"/>
      <c r="BB65" s="112">
        <f>BB62+BB40</f>
        <v>139659.79457500001</v>
      </c>
      <c r="BC65" s="150"/>
      <c r="BD65" s="150"/>
      <c r="BE65" s="151"/>
      <c r="BG65" s="64">
        <f>BG62+BG40</f>
        <v>4174685.5463399999</v>
      </c>
      <c r="BJ65" s="64">
        <f>BJ62+BJ40</f>
        <v>4506816.2190000005</v>
      </c>
      <c r="BY65" s="41" t="s">
        <v>94</v>
      </c>
      <c r="BZ65" s="112">
        <f>BZ62+BZ40</f>
        <v>104360.56</v>
      </c>
      <c r="CA65" s="150"/>
      <c r="CB65" s="150"/>
      <c r="CC65" s="151"/>
      <c r="CD65" s="112">
        <f>CD62+CD40</f>
        <v>103802.8350475</v>
      </c>
      <c r="CE65" s="150"/>
      <c r="CF65" s="150"/>
      <c r="CG65" s="151"/>
      <c r="CH65" s="112">
        <f>CH62+CH40</f>
        <v>248258.81</v>
      </c>
      <c r="CI65" s="150"/>
      <c r="CJ65" s="150"/>
      <c r="CK65" s="150"/>
      <c r="CL65" s="151"/>
      <c r="CM65" s="112">
        <f>CM62+CM40</f>
        <v>203694.91999999998</v>
      </c>
      <c r="CN65" s="150"/>
      <c r="CO65" s="150"/>
      <c r="CP65" s="150"/>
      <c r="CQ65" s="151"/>
      <c r="CR65" s="112">
        <f>CR62+CR40</f>
        <v>613284.24</v>
      </c>
      <c r="CS65" s="150"/>
      <c r="CT65" s="150"/>
      <c r="CU65" s="151"/>
      <c r="CV65" s="112">
        <f>CV62+CV40</f>
        <v>765446.12999999989</v>
      </c>
      <c r="CW65" s="150"/>
      <c r="CX65" s="150"/>
      <c r="CY65" s="151"/>
      <c r="CZ65" s="112">
        <f>CZ62+CZ40</f>
        <v>601227.67000000004</v>
      </c>
      <c r="DA65" s="150"/>
      <c r="DB65" s="150"/>
      <c r="DC65" s="150"/>
      <c r="DD65" s="151"/>
      <c r="DE65" s="113">
        <f>DE62+DE40</f>
        <v>362548.54000000004</v>
      </c>
      <c r="DF65" s="112"/>
      <c r="DG65" s="112"/>
      <c r="DH65" s="114"/>
      <c r="DI65" s="99">
        <f>DI62+DI40</f>
        <v>556547.74</v>
      </c>
      <c r="DJ65" s="190"/>
      <c r="DK65" s="190"/>
      <c r="DL65" s="190"/>
      <c r="DM65" s="191"/>
      <c r="DN65" s="98">
        <f>DN62+DN40</f>
        <v>202663.41999999998</v>
      </c>
      <c r="DO65" s="99"/>
      <c r="DP65" s="99"/>
      <c r="DQ65" s="99"/>
      <c r="DR65" s="100"/>
      <c r="DS65" s="101">
        <f>DS62+DS40</f>
        <v>355830.32775500003</v>
      </c>
      <c r="DT65" s="102"/>
      <c r="DU65" s="102"/>
      <c r="DV65" s="103"/>
      <c r="DW65" s="101">
        <f>DW62+DW40</f>
        <v>121425.86165500002</v>
      </c>
      <c r="DX65" s="102"/>
      <c r="DY65" s="102"/>
      <c r="DZ65" s="103"/>
      <c r="EB65" s="33">
        <f>SUM(BZ65:DZ65)</f>
        <v>4239091.0544574996</v>
      </c>
      <c r="EE65" s="64">
        <f>EE62+EE40</f>
        <v>49405.508117500198</v>
      </c>
      <c r="EJ65" s="76" t="s">
        <v>95</v>
      </c>
    </row>
    <row r="66" spans="4:141" ht="12.95">
      <c r="BG66" s="32">
        <f>BG65+505000</f>
        <v>4679685.5463399999</v>
      </c>
      <c r="EB66" s="32">
        <f>EB65+505000</f>
        <v>4744091.0544574996</v>
      </c>
    </row>
    <row r="67" spans="4:141" ht="15.75" customHeight="1">
      <c r="BG67" s="71">
        <f>4225000-15000+29000</f>
        <v>4239000</v>
      </c>
      <c r="EB67" s="73">
        <v>4239000</v>
      </c>
    </row>
    <row r="68" spans="4:141" ht="12.95">
      <c r="BA68" s="171" t="s">
        <v>96</v>
      </c>
      <c r="BB68" s="149"/>
      <c r="BC68" s="149"/>
      <c r="BD68" s="149"/>
      <c r="BE68" s="149"/>
      <c r="BF68" s="149"/>
      <c r="EB68" s="75">
        <f>EB65-EB67</f>
        <v>91.05445749964565</v>
      </c>
    </row>
    <row r="69" spans="4:141" ht="12.95">
      <c r="D69" s="16"/>
      <c r="BY69" s="16"/>
      <c r="DV69" s="171" t="s">
        <v>96</v>
      </c>
      <c r="DW69" s="149"/>
      <c r="DX69" s="149"/>
      <c r="DY69" s="149"/>
      <c r="DZ69" s="149"/>
      <c r="EA69" s="149"/>
      <c r="EJ69" s="72" t="s">
        <v>97</v>
      </c>
      <c r="EK69" s="77">
        <f>20000-13200</f>
        <v>6800</v>
      </c>
    </row>
    <row r="70" spans="4:141" ht="12.95">
      <c r="BA70" s="16" t="s">
        <v>98</v>
      </c>
      <c r="BC70" s="192">
        <f>BG62</f>
        <v>980722.42633999989</v>
      </c>
      <c r="BD70" s="149"/>
      <c r="BE70" s="149"/>
      <c r="BF70" s="149"/>
      <c r="BG70" s="54">
        <f>BC70/BG66</f>
        <v>0.20957015522272146</v>
      </c>
      <c r="DM70" s="74"/>
      <c r="DV70" s="16" t="s">
        <v>98</v>
      </c>
      <c r="DX70" s="192">
        <f>EB62</f>
        <v>951817.15445750009</v>
      </c>
      <c r="DY70" s="149"/>
      <c r="DZ70" s="149"/>
      <c r="EA70" s="149"/>
      <c r="EB70" s="54">
        <f>DX70/EB66</f>
        <v>0.20063214291875414</v>
      </c>
      <c r="EJ70" s="72" t="s">
        <v>99</v>
      </c>
      <c r="EK70" s="77">
        <f>50000-40322</f>
        <v>9678</v>
      </c>
    </row>
    <row r="71" spans="4:141" ht="12.95">
      <c r="BA71" s="16" t="s">
        <v>24</v>
      </c>
      <c r="BC71" s="192">
        <f>BG44</f>
        <v>3698963.12</v>
      </c>
      <c r="BD71" s="149"/>
      <c r="BE71" s="149"/>
      <c r="BF71" s="149"/>
      <c r="BG71" s="54">
        <f>BC71/BG66</f>
        <v>0.79042984477727851</v>
      </c>
      <c r="DV71" s="16" t="s">
        <v>24</v>
      </c>
      <c r="DX71" s="192">
        <f>EB44</f>
        <v>3792273.8999999994</v>
      </c>
      <c r="DY71" s="149"/>
      <c r="DZ71" s="149"/>
      <c r="EA71" s="149"/>
      <c r="EB71" s="54">
        <f>DX71/EB66</f>
        <v>0.7993678570812458</v>
      </c>
      <c r="EJ71" s="72" t="s">
        <v>100</v>
      </c>
      <c r="EK71" s="77">
        <f>5000-2843.8</f>
        <v>2156.1999999999998</v>
      </c>
    </row>
    <row r="72" spans="4:141" ht="12.95">
      <c r="BA72" s="16"/>
      <c r="BC72" s="32"/>
      <c r="BG72" s="54"/>
      <c r="DV72" s="16"/>
      <c r="DX72" s="32"/>
      <c r="EB72" s="54"/>
      <c r="EJ72" s="72" t="s">
        <v>101</v>
      </c>
      <c r="EK72" s="77">
        <f>1000-600</f>
        <v>400</v>
      </c>
    </row>
    <row r="73" spans="4:141" ht="12.95">
      <c r="BA73" s="16"/>
      <c r="BC73" s="32"/>
      <c r="BG73" s="54"/>
      <c r="DV73" s="16"/>
      <c r="DX73" s="32"/>
      <c r="EB73" s="54"/>
      <c r="EJ73" s="72" t="s">
        <v>102</v>
      </c>
      <c r="EK73" s="77">
        <f>1500-1000</f>
        <v>500</v>
      </c>
    </row>
    <row r="74" spans="4:141" ht="15.75" customHeight="1">
      <c r="BC74" s="72" t="s">
        <v>103</v>
      </c>
      <c r="EJ74" s="72" t="s">
        <v>104</v>
      </c>
      <c r="EK74" s="77">
        <f>8000-5000</f>
        <v>3000</v>
      </c>
    </row>
    <row r="75" spans="4:141" ht="15.75" customHeight="1">
      <c r="BC75" s="72"/>
      <c r="EJ75" s="72" t="s">
        <v>105</v>
      </c>
      <c r="EK75" s="77">
        <v>8250</v>
      </c>
    </row>
    <row r="76" spans="4:141" ht="15.75" customHeight="1">
      <c r="EK76" s="77">
        <f>EK69+EK70+EK71+EK75+EK72+EK73+EK74</f>
        <v>30784.2</v>
      </c>
    </row>
    <row r="77" spans="4:141" ht="15.75" customHeight="1">
      <c r="EK77" s="78">
        <f>EB68-EK76</f>
        <v>-30693.145542500355</v>
      </c>
    </row>
    <row r="78" spans="4:141" ht="15.75" customHeight="1">
      <c r="EJ78" s="72" t="s">
        <v>106</v>
      </c>
      <c r="EK78" s="79">
        <f>5952-4914.08</f>
        <v>1037.92</v>
      </c>
    </row>
    <row r="79" spans="4:141" ht="15.75" customHeight="1">
      <c r="EK79" s="75">
        <f>EK77+EK78</f>
        <v>-29655.225542500353</v>
      </c>
    </row>
    <row r="80" spans="4:141" ht="15.75" customHeight="1">
      <c r="BG80" s="75"/>
      <c r="EB80" s="75"/>
    </row>
    <row r="154" spans="62:136" ht="14.1">
      <c r="BJ154" s="65"/>
      <c r="EE154" s="65"/>
    </row>
    <row r="155" spans="62:136" ht="12.95">
      <c r="BJ155" s="16"/>
      <c r="BK155" s="16"/>
      <c r="EE155" s="16"/>
      <c r="EF155" s="16"/>
    </row>
    <row r="156" spans="62:136" ht="12.95">
      <c r="BJ156" s="16"/>
      <c r="BK156" s="16"/>
      <c r="EE156" s="16"/>
      <c r="EF156" s="16"/>
    </row>
    <row r="157" spans="62:136" ht="12.95">
      <c r="BJ157" s="16"/>
      <c r="BK157" s="16"/>
      <c r="EE157" s="16"/>
      <c r="EF157" s="16"/>
    </row>
    <row r="158" spans="62:136" ht="12.95">
      <c r="BJ158" s="16"/>
      <c r="BK158" s="16"/>
      <c r="EE158" s="16"/>
      <c r="EF158" s="16"/>
    </row>
  </sheetData>
  <mergeCells count="1064">
    <mergeCell ref="AS37:AW37"/>
    <mergeCell ref="AX37:BA37"/>
    <mergeCell ref="BB37:BE37"/>
    <mergeCell ref="E37:H37"/>
    <mergeCell ref="I37:L37"/>
    <mergeCell ref="M37:Q37"/>
    <mergeCell ref="R37:V37"/>
    <mergeCell ref="W37:Z37"/>
    <mergeCell ref="AA37:AD37"/>
    <mergeCell ref="AE37:AI37"/>
    <mergeCell ref="E40:H40"/>
    <mergeCell ref="I40:L40"/>
    <mergeCell ref="M40:Q40"/>
    <mergeCell ref="R40:V40"/>
    <mergeCell ref="W40:Z40"/>
    <mergeCell ref="AA40:AD40"/>
    <mergeCell ref="AE40:AI40"/>
    <mergeCell ref="AJ40:AM40"/>
    <mergeCell ref="AO40:AR40"/>
    <mergeCell ref="AS40:AW40"/>
    <mergeCell ref="AX40:BA40"/>
    <mergeCell ref="BB40:BE40"/>
    <mergeCell ref="I39:L39"/>
    <mergeCell ref="M39:Q39"/>
    <mergeCell ref="AJ38:AM38"/>
    <mergeCell ref="AO38:AR38"/>
    <mergeCell ref="AS38:AW38"/>
    <mergeCell ref="AX38:BA38"/>
    <mergeCell ref="BB38:BE38"/>
    <mergeCell ref="E38:H38"/>
    <mergeCell ref="I38:L38"/>
    <mergeCell ref="M38:Q38"/>
    <mergeCell ref="AO36:AR36"/>
    <mergeCell ref="AS36:AW36"/>
    <mergeCell ref="AX36:BA36"/>
    <mergeCell ref="BB36:BE36"/>
    <mergeCell ref="D34:D35"/>
    <mergeCell ref="E36:H36"/>
    <mergeCell ref="I36:L36"/>
    <mergeCell ref="M36:Q36"/>
    <mergeCell ref="R36:V36"/>
    <mergeCell ref="W36:Z36"/>
    <mergeCell ref="AA36:AD36"/>
    <mergeCell ref="AS31:AW31"/>
    <mergeCell ref="E31:H31"/>
    <mergeCell ref="I31:L31"/>
    <mergeCell ref="M31:Q31"/>
    <mergeCell ref="R31:V31"/>
    <mergeCell ref="W31:Z31"/>
    <mergeCell ref="AA31:AD31"/>
    <mergeCell ref="AE31:AI31"/>
    <mergeCell ref="AJ32:AM32"/>
    <mergeCell ref="AO32:AR32"/>
    <mergeCell ref="AS32:AW32"/>
    <mergeCell ref="E32:H32"/>
    <mergeCell ref="I32:L32"/>
    <mergeCell ref="M32:Q32"/>
    <mergeCell ref="R32:V32"/>
    <mergeCell ref="W32:Z32"/>
    <mergeCell ref="AA32:AD32"/>
    <mergeCell ref="AE32:AI32"/>
    <mergeCell ref="E29:H29"/>
    <mergeCell ref="I29:L29"/>
    <mergeCell ref="M29:Q29"/>
    <mergeCell ref="R29:V29"/>
    <mergeCell ref="W29:Z29"/>
    <mergeCell ref="AA29:AD29"/>
    <mergeCell ref="AE29:AI29"/>
    <mergeCell ref="AJ30:AM30"/>
    <mergeCell ref="AO30:AR30"/>
    <mergeCell ref="AS30:AW30"/>
    <mergeCell ref="E30:H30"/>
    <mergeCell ref="I30:L30"/>
    <mergeCell ref="M30:Q30"/>
    <mergeCell ref="R30:V30"/>
    <mergeCell ref="W30:Z30"/>
    <mergeCell ref="AA30:AD30"/>
    <mergeCell ref="AE30:AI30"/>
    <mergeCell ref="AJ65:AM65"/>
    <mergeCell ref="AN65:AR65"/>
    <mergeCell ref="AS65:AW65"/>
    <mergeCell ref="AX65:BA65"/>
    <mergeCell ref="BB65:BE65"/>
    <mergeCell ref="BA68:BF68"/>
    <mergeCell ref="BC70:BF70"/>
    <mergeCell ref="BC71:BF71"/>
    <mergeCell ref="E65:H65"/>
    <mergeCell ref="I65:L65"/>
    <mergeCell ref="M65:Q65"/>
    <mergeCell ref="R65:V65"/>
    <mergeCell ref="W65:Z65"/>
    <mergeCell ref="AA65:AD65"/>
    <mergeCell ref="AE65:AI65"/>
    <mergeCell ref="AJ62:AM62"/>
    <mergeCell ref="AN62:AR62"/>
    <mergeCell ref="AS62:AW62"/>
    <mergeCell ref="AX62:BA62"/>
    <mergeCell ref="BB62:BE62"/>
    <mergeCell ref="E62:H62"/>
    <mergeCell ref="I62:L62"/>
    <mergeCell ref="M62:Q62"/>
    <mergeCell ref="R62:V62"/>
    <mergeCell ref="W62:Z62"/>
    <mergeCell ref="AA62:AD62"/>
    <mergeCell ref="AE62:AI62"/>
    <mergeCell ref="AJ58:AM58"/>
    <mergeCell ref="AN58:AR58"/>
    <mergeCell ref="AS58:AW58"/>
    <mergeCell ref="AX58:BA58"/>
    <mergeCell ref="BB58:BE58"/>
    <mergeCell ref="E58:H58"/>
    <mergeCell ref="I58:L58"/>
    <mergeCell ref="M58:Q58"/>
    <mergeCell ref="R58:V58"/>
    <mergeCell ref="W58:Z58"/>
    <mergeCell ref="AA58:AD58"/>
    <mergeCell ref="AE58:AI58"/>
    <mergeCell ref="AJ59:AM59"/>
    <mergeCell ref="AN59:AR59"/>
    <mergeCell ref="AS59:AW59"/>
    <mergeCell ref="AX59:BA59"/>
    <mergeCell ref="BB59:BE59"/>
    <mergeCell ref="E59:H59"/>
    <mergeCell ref="I59:L59"/>
    <mergeCell ref="M59:Q59"/>
    <mergeCell ref="AJ56:AM56"/>
    <mergeCell ref="AN56:AR56"/>
    <mergeCell ref="AS56:AW56"/>
    <mergeCell ref="AX56:BA56"/>
    <mergeCell ref="BB56:BE56"/>
    <mergeCell ref="E56:H56"/>
    <mergeCell ref="I56:L56"/>
    <mergeCell ref="M56:Q56"/>
    <mergeCell ref="R56:V56"/>
    <mergeCell ref="W56:Z56"/>
    <mergeCell ref="AA56:AD56"/>
    <mergeCell ref="AE56:AI56"/>
    <mergeCell ref="AX57:BA57"/>
    <mergeCell ref="E57:H57"/>
    <mergeCell ref="I57:L57"/>
    <mergeCell ref="M57:Q57"/>
    <mergeCell ref="R57:V57"/>
    <mergeCell ref="AJ61:AM61"/>
    <mergeCell ref="AN61:AR61"/>
    <mergeCell ref="AS61:AW61"/>
    <mergeCell ref="AX61:BA61"/>
    <mergeCell ref="BB61:BE61"/>
    <mergeCell ref="E61:H61"/>
    <mergeCell ref="I61:L61"/>
    <mergeCell ref="M61:Q61"/>
    <mergeCell ref="R61:V61"/>
    <mergeCell ref="W61:Z61"/>
    <mergeCell ref="AA61:AD61"/>
    <mergeCell ref="AE61:AI61"/>
    <mergeCell ref="R59:V59"/>
    <mergeCell ref="W59:Z59"/>
    <mergeCell ref="AA59:AD59"/>
    <mergeCell ref="AE59:AI59"/>
    <mergeCell ref="AJ60:AM60"/>
    <mergeCell ref="AN60:AR60"/>
    <mergeCell ref="AS60:AW60"/>
    <mergeCell ref="AX60:BA60"/>
    <mergeCell ref="BB60:BE60"/>
    <mergeCell ref="E60:H60"/>
    <mergeCell ref="I60:L60"/>
    <mergeCell ref="M60:Q60"/>
    <mergeCell ref="R60:V60"/>
    <mergeCell ref="W60:Z60"/>
    <mergeCell ref="AA60:AD60"/>
    <mergeCell ref="AE60:AI60"/>
    <mergeCell ref="AS54:AW54"/>
    <mergeCell ref="AX54:BA54"/>
    <mergeCell ref="BB54:BE54"/>
    <mergeCell ref="E54:H54"/>
    <mergeCell ref="I54:L54"/>
    <mergeCell ref="M54:Q54"/>
    <mergeCell ref="R54:V54"/>
    <mergeCell ref="W54:Z54"/>
    <mergeCell ref="AA54:AD54"/>
    <mergeCell ref="AE54:AI54"/>
    <mergeCell ref="AJ55:AM55"/>
    <mergeCell ref="AN55:AR55"/>
    <mergeCell ref="AS55:AW55"/>
    <mergeCell ref="AX55:BA55"/>
    <mergeCell ref="BB55:BE55"/>
    <mergeCell ref="E55:H55"/>
    <mergeCell ref="I55:L55"/>
    <mergeCell ref="M55:Q55"/>
    <mergeCell ref="R55:V55"/>
    <mergeCell ref="W55:Z55"/>
    <mergeCell ref="AA55:AD55"/>
    <mergeCell ref="AE55:AI55"/>
    <mergeCell ref="D50:D51"/>
    <mergeCell ref="E51:H51"/>
    <mergeCell ref="I51:L51"/>
    <mergeCell ref="M51:O51"/>
    <mergeCell ref="E52:H52"/>
    <mergeCell ref="I52:L52"/>
    <mergeCell ref="M52:Q52"/>
    <mergeCell ref="E46:H46"/>
    <mergeCell ref="I46:L46"/>
    <mergeCell ref="M46:Q46"/>
    <mergeCell ref="R46:V46"/>
    <mergeCell ref="W46:Z46"/>
    <mergeCell ref="AE46:AI46"/>
    <mergeCell ref="R47:V47"/>
    <mergeCell ref="AJ54:AM54"/>
    <mergeCell ref="AN54:AR54"/>
    <mergeCell ref="AJ53:AM53"/>
    <mergeCell ref="AN53:AR53"/>
    <mergeCell ref="E53:H53"/>
    <mergeCell ref="I53:L53"/>
    <mergeCell ref="M53:Q53"/>
    <mergeCell ref="AX52:BA52"/>
    <mergeCell ref="BB52:BE52"/>
    <mergeCell ref="R52:V52"/>
    <mergeCell ref="W52:Z52"/>
    <mergeCell ref="AA52:AD52"/>
    <mergeCell ref="AE52:AI52"/>
    <mergeCell ref="AJ52:AM52"/>
    <mergeCell ref="AN52:AR52"/>
    <mergeCell ref="AS52:AW52"/>
    <mergeCell ref="BB46:BE46"/>
    <mergeCell ref="AA46:AD46"/>
    <mergeCell ref="AA47:AD47"/>
    <mergeCell ref="AA48:AD48"/>
    <mergeCell ref="AE48:AI48"/>
    <mergeCell ref="R53:V53"/>
    <mergeCell ref="W53:Z53"/>
    <mergeCell ref="AA53:AD53"/>
    <mergeCell ref="AE53:AI53"/>
    <mergeCell ref="AS53:AW53"/>
    <mergeCell ref="AX53:BA53"/>
    <mergeCell ref="BB53:BE53"/>
    <mergeCell ref="AJ43:AM43"/>
    <mergeCell ref="AN43:AR43"/>
    <mergeCell ref="AS43:AW43"/>
    <mergeCell ref="AX43:BA43"/>
    <mergeCell ref="BB43:BE43"/>
    <mergeCell ref="AJ44:AM44"/>
    <mergeCell ref="AN44:AR44"/>
    <mergeCell ref="AS44:AW44"/>
    <mergeCell ref="AX44:BA44"/>
    <mergeCell ref="BB44:BE44"/>
    <mergeCell ref="AE49:AI49"/>
    <mergeCell ref="AE47:AI47"/>
    <mergeCell ref="AJ47:AM47"/>
    <mergeCell ref="AX47:BA47"/>
    <mergeCell ref="AS41:AW41"/>
    <mergeCell ref="AX41:BA41"/>
    <mergeCell ref="BB41:BE41"/>
    <mergeCell ref="AJ46:AM46"/>
    <mergeCell ref="AO46:AR46"/>
    <mergeCell ref="AS46:AW46"/>
    <mergeCell ref="AX46:BA46"/>
    <mergeCell ref="M41:Q41"/>
    <mergeCell ref="R41:V41"/>
    <mergeCell ref="W41:Z41"/>
    <mergeCell ref="AA41:AD41"/>
    <mergeCell ref="AE41:AI41"/>
    <mergeCell ref="AS42:AW42"/>
    <mergeCell ref="AX42:BA42"/>
    <mergeCell ref="BB42:BE42"/>
    <mergeCell ref="E42:H42"/>
    <mergeCell ref="I42:L42"/>
    <mergeCell ref="M42:Q42"/>
    <mergeCell ref="R42:V42"/>
    <mergeCell ref="W42:Z42"/>
    <mergeCell ref="AA42:AD42"/>
    <mergeCell ref="AE42:AI42"/>
    <mergeCell ref="AJ42:AM42"/>
    <mergeCell ref="AO42:AR42"/>
    <mergeCell ref="E44:H44"/>
    <mergeCell ref="I44:L44"/>
    <mergeCell ref="M44:Q44"/>
    <mergeCell ref="R44:V44"/>
    <mergeCell ref="W44:Z44"/>
    <mergeCell ref="AA44:AD44"/>
    <mergeCell ref="AE44:AI44"/>
    <mergeCell ref="AJ28:AM28"/>
    <mergeCell ref="AO28:AR28"/>
    <mergeCell ref="AJ41:AM41"/>
    <mergeCell ref="AO41:AR41"/>
    <mergeCell ref="E43:H43"/>
    <mergeCell ref="I43:L43"/>
    <mergeCell ref="M43:Q43"/>
    <mergeCell ref="R43:V43"/>
    <mergeCell ref="W43:Z43"/>
    <mergeCell ref="AA43:AD43"/>
    <mergeCell ref="AE43:AI43"/>
    <mergeCell ref="AJ29:AM29"/>
    <mergeCell ref="AO29:AR29"/>
    <mergeCell ref="AJ31:AM31"/>
    <mergeCell ref="AO31:AR31"/>
    <mergeCell ref="AE36:AI36"/>
    <mergeCell ref="AJ36:AM36"/>
    <mergeCell ref="W38:Z38"/>
    <mergeCell ref="AA38:AD38"/>
    <mergeCell ref="AE38:AI38"/>
    <mergeCell ref="AJ37:AM37"/>
    <mergeCell ref="AO37:AR37"/>
    <mergeCell ref="R38:V38"/>
    <mergeCell ref="E41:H41"/>
    <mergeCell ref="I41:L41"/>
    <mergeCell ref="E28:H28"/>
    <mergeCell ref="I28:L28"/>
    <mergeCell ref="M28:Q28"/>
    <mergeCell ref="R28:V28"/>
    <mergeCell ref="W28:Z28"/>
    <mergeCell ref="AA28:AD28"/>
    <mergeCell ref="AE28:AI28"/>
    <mergeCell ref="AJ27:AM27"/>
    <mergeCell ref="AO27:AR27"/>
    <mergeCell ref="AS27:AW27"/>
    <mergeCell ref="E27:H27"/>
    <mergeCell ref="I27:L27"/>
    <mergeCell ref="M27:Q27"/>
    <mergeCell ref="R27:V27"/>
    <mergeCell ref="W27:Z27"/>
    <mergeCell ref="AA27:AD27"/>
    <mergeCell ref="AE27:AI27"/>
    <mergeCell ref="AA14:AD14"/>
    <mergeCell ref="AE14:AI14"/>
    <mergeCell ref="AJ13:AM13"/>
    <mergeCell ref="AO13:AR13"/>
    <mergeCell ref="AS13:AW13"/>
    <mergeCell ref="E13:H13"/>
    <mergeCell ref="I13:L13"/>
    <mergeCell ref="M13:Q13"/>
    <mergeCell ref="E20:H20"/>
    <mergeCell ref="E11:H11"/>
    <mergeCell ref="I11:L11"/>
    <mergeCell ref="AJ26:AM26"/>
    <mergeCell ref="AO26:AR26"/>
    <mergeCell ref="AS26:AW26"/>
    <mergeCell ref="E26:H26"/>
    <mergeCell ref="I26:L26"/>
    <mergeCell ref="M26:Q26"/>
    <mergeCell ref="R26:V26"/>
    <mergeCell ref="W26:Z26"/>
    <mergeCell ref="AA26:AD26"/>
    <mergeCell ref="AE26:AI26"/>
    <mergeCell ref="E25:H25"/>
    <mergeCell ref="I25:L25"/>
    <mergeCell ref="M25:Q25"/>
    <mergeCell ref="R25:V25"/>
    <mergeCell ref="W25:Z25"/>
    <mergeCell ref="AA25:AD25"/>
    <mergeCell ref="AE25:AI25"/>
    <mergeCell ref="M11:Q11"/>
    <mergeCell ref="R11:V11"/>
    <mergeCell ref="W11:Z11"/>
    <mergeCell ref="E1:AA2"/>
    <mergeCell ref="E4:X4"/>
    <mergeCell ref="S5:U5"/>
    <mergeCell ref="X5:Z5"/>
    <mergeCell ref="E6:H6"/>
    <mergeCell ref="I6:L6"/>
    <mergeCell ref="M6:Q6"/>
    <mergeCell ref="E7:H7"/>
    <mergeCell ref="I7:L7"/>
    <mergeCell ref="M7:Q7"/>
    <mergeCell ref="AJ11:AM11"/>
    <mergeCell ref="AO11:AR11"/>
    <mergeCell ref="AO14:AR14"/>
    <mergeCell ref="AS14:AW14"/>
    <mergeCell ref="R22:V22"/>
    <mergeCell ref="W22:Z22"/>
    <mergeCell ref="AA22:AD22"/>
    <mergeCell ref="E19:H19"/>
    <mergeCell ref="I19:L19"/>
    <mergeCell ref="M19:Q19"/>
    <mergeCell ref="R19:V19"/>
    <mergeCell ref="W19:Z19"/>
    <mergeCell ref="AA19:AD19"/>
    <mergeCell ref="AJ20:AM20"/>
    <mergeCell ref="AO20:AR20"/>
    <mergeCell ref="AA12:AD12"/>
    <mergeCell ref="AE12:AI12"/>
    <mergeCell ref="AJ7:AM7"/>
    <mergeCell ref="AO7:AR7"/>
    <mergeCell ref="AS7:AW7"/>
    <mergeCell ref="AS11:AW11"/>
    <mergeCell ref="E14:H14"/>
    <mergeCell ref="R6:V6"/>
    <mergeCell ref="W6:Z6"/>
    <mergeCell ref="AA6:AD6"/>
    <mergeCell ref="AE6:AI6"/>
    <mergeCell ref="AJ6:AM6"/>
    <mergeCell ref="AO6:AR6"/>
    <mergeCell ref="AS6:AW6"/>
    <mergeCell ref="AX6:BA6"/>
    <mergeCell ref="BB6:BE6"/>
    <mergeCell ref="R7:V7"/>
    <mergeCell ref="AA7:AD7"/>
    <mergeCell ref="R8:S8"/>
    <mergeCell ref="W7:Z7"/>
    <mergeCell ref="W10:Z10"/>
    <mergeCell ref="D9:D10"/>
    <mergeCell ref="AA24:AD24"/>
    <mergeCell ref="AE24:AI24"/>
    <mergeCell ref="AJ24:AM24"/>
    <mergeCell ref="AO24:AR24"/>
    <mergeCell ref="AS24:AW24"/>
    <mergeCell ref="D17:D18"/>
    <mergeCell ref="E24:H24"/>
    <mergeCell ref="I24:L24"/>
    <mergeCell ref="M24:Q24"/>
    <mergeCell ref="R24:V24"/>
    <mergeCell ref="W24:Z24"/>
    <mergeCell ref="AJ23:AM23"/>
    <mergeCell ref="AO23:AR23"/>
    <mergeCell ref="AS23:AW23"/>
    <mergeCell ref="E23:H23"/>
    <mergeCell ref="I23:L23"/>
    <mergeCell ref="I14:L14"/>
    <mergeCell ref="AA11:AD11"/>
    <mergeCell ref="AE11:AI11"/>
    <mergeCell ref="AJ12:AM12"/>
    <mergeCell ref="AO12:AR12"/>
    <mergeCell ref="AS12:AW12"/>
    <mergeCell ref="E12:H12"/>
    <mergeCell ref="I12:L12"/>
    <mergeCell ref="M12:Q12"/>
    <mergeCell ref="R12:V12"/>
    <mergeCell ref="W12:Z12"/>
    <mergeCell ref="AJ14:AM14"/>
    <mergeCell ref="AX7:BA7"/>
    <mergeCell ref="AX12:BA12"/>
    <mergeCell ref="BB12:BE12"/>
    <mergeCell ref="AX13:BA13"/>
    <mergeCell ref="BB13:BE13"/>
    <mergeCell ref="AX14:BA14"/>
    <mergeCell ref="BB14:BE14"/>
    <mergeCell ref="AX11:BA11"/>
    <mergeCell ref="BB11:BE11"/>
    <mergeCell ref="R13:V13"/>
    <mergeCell ref="W13:Z13"/>
    <mergeCell ref="AA13:AD13"/>
    <mergeCell ref="AE13:AI13"/>
    <mergeCell ref="BB7:BE7"/>
    <mergeCell ref="AE7:AI7"/>
    <mergeCell ref="AO8:AP8"/>
    <mergeCell ref="AA10:AD10"/>
    <mergeCell ref="AE10:AI10"/>
    <mergeCell ref="M14:Q14"/>
    <mergeCell ref="R14:V14"/>
    <mergeCell ref="W14:Z14"/>
    <mergeCell ref="BB30:BE30"/>
    <mergeCell ref="BB31:BE31"/>
    <mergeCell ref="BB32:BE32"/>
    <mergeCell ref="AX29:BA29"/>
    <mergeCell ref="AX30:BA30"/>
    <mergeCell ref="AX31:BA31"/>
    <mergeCell ref="AX32:BA32"/>
    <mergeCell ref="BJ26:BJ27"/>
    <mergeCell ref="BB28:BE28"/>
    <mergeCell ref="BJ28:BJ29"/>
    <mergeCell ref="BB29:BE29"/>
    <mergeCell ref="AX27:BA27"/>
    <mergeCell ref="BB27:BE27"/>
    <mergeCell ref="AX28:BA28"/>
    <mergeCell ref="AJ22:AM22"/>
    <mergeCell ref="AO22:AR22"/>
    <mergeCell ref="AS22:AW22"/>
    <mergeCell ref="AX26:BA26"/>
    <mergeCell ref="BB26:BE26"/>
    <mergeCell ref="AS28:AW28"/>
    <mergeCell ref="AS29:AW29"/>
    <mergeCell ref="AJ15:AM15"/>
    <mergeCell ref="AO15:AR15"/>
    <mergeCell ref="AS15:AW15"/>
    <mergeCell ref="AJ19:AM19"/>
    <mergeCell ref="AO19:AR19"/>
    <mergeCell ref="AS19:AW19"/>
    <mergeCell ref="AX25:BA25"/>
    <mergeCell ref="BB25:BE25"/>
    <mergeCell ref="AX20:BA20"/>
    <mergeCell ref="BB20:BE20"/>
    <mergeCell ref="AX21:BA21"/>
    <mergeCell ref="BB21:BE21"/>
    <mergeCell ref="AX22:BA22"/>
    <mergeCell ref="BB22:BE22"/>
    <mergeCell ref="AX23:BA23"/>
    <mergeCell ref="BB23:BE23"/>
    <mergeCell ref="AX24:BA24"/>
    <mergeCell ref="BB24:BE24"/>
    <mergeCell ref="AX15:BA15"/>
    <mergeCell ref="BB15:BE15"/>
    <mergeCell ref="AX19:BA19"/>
    <mergeCell ref="BB19:BE19"/>
    <mergeCell ref="AJ25:AM25"/>
    <mergeCell ref="AO25:AR25"/>
    <mergeCell ref="AS25:AW25"/>
    <mergeCell ref="AS20:AW20"/>
    <mergeCell ref="E15:H15"/>
    <mergeCell ref="I15:L15"/>
    <mergeCell ref="M15:Q15"/>
    <mergeCell ref="R15:V15"/>
    <mergeCell ref="W15:Z15"/>
    <mergeCell ref="AA15:AD15"/>
    <mergeCell ref="AE15:AI15"/>
    <mergeCell ref="AE22:AI22"/>
    <mergeCell ref="AE19:AI19"/>
    <mergeCell ref="E21:H21"/>
    <mergeCell ref="I21:L21"/>
    <mergeCell ref="M21:Q21"/>
    <mergeCell ref="R21:V21"/>
    <mergeCell ref="W21:Z21"/>
    <mergeCell ref="AA21:AD21"/>
    <mergeCell ref="AE21:AI21"/>
    <mergeCell ref="E22:H22"/>
    <mergeCell ref="I22:L22"/>
    <mergeCell ref="M22:Q22"/>
    <mergeCell ref="I20:L20"/>
    <mergeCell ref="M20:Q20"/>
    <mergeCell ref="R20:V20"/>
    <mergeCell ref="W20:Z20"/>
    <mergeCell ref="AA20:AD20"/>
    <mergeCell ref="AE20:AI20"/>
    <mergeCell ref="BN11:BW42"/>
    <mergeCell ref="BZ1:CV2"/>
    <mergeCell ref="BZ4:CS4"/>
    <mergeCell ref="CN5:CP5"/>
    <mergeCell ref="CS5:CU5"/>
    <mergeCell ref="BZ6:CC6"/>
    <mergeCell ref="CD6:CG6"/>
    <mergeCell ref="CH6:CL6"/>
    <mergeCell ref="CM6:CQ6"/>
    <mergeCell ref="CR6:CU6"/>
    <mergeCell ref="CV6:CY6"/>
    <mergeCell ref="CM8:CN8"/>
    <mergeCell ref="BZ13:CC13"/>
    <mergeCell ref="CD13:CG13"/>
    <mergeCell ref="CH13:CL13"/>
    <mergeCell ref="CM13:CQ13"/>
    <mergeCell ref="CR13:CU13"/>
    <mergeCell ref="CV13:CY13"/>
    <mergeCell ref="CM12:CQ12"/>
    <mergeCell ref="CR12:CU12"/>
    <mergeCell ref="CV12:CY12"/>
    <mergeCell ref="CV23:CY23"/>
    <mergeCell ref="BZ25:CC25"/>
    <mergeCell ref="CD25:CG25"/>
    <mergeCell ref="CH25:CL25"/>
    <mergeCell ref="CM25:CQ25"/>
    <mergeCell ref="CR25:CU25"/>
    <mergeCell ref="CV25:CY25"/>
    <mergeCell ref="CV26:CY26"/>
    <mergeCell ref="CD39:CG39"/>
    <mergeCell ref="CH39:CL39"/>
    <mergeCell ref="BZ40:CC40"/>
    <mergeCell ref="M23:Q23"/>
    <mergeCell ref="R23:V23"/>
    <mergeCell ref="W23:Z23"/>
    <mergeCell ref="AA23:AD23"/>
    <mergeCell ref="AE23:AI23"/>
    <mergeCell ref="AJ21:AM21"/>
    <mergeCell ref="AO21:AR21"/>
    <mergeCell ref="AS21:AW21"/>
    <mergeCell ref="CZ6:DD6"/>
    <mergeCell ref="DE6:DH6"/>
    <mergeCell ref="DJ6:DM6"/>
    <mergeCell ref="DN6:DR6"/>
    <mergeCell ref="DS6:DV6"/>
    <mergeCell ref="DW6:DZ6"/>
    <mergeCell ref="BZ7:CC7"/>
    <mergeCell ref="CD7:CG7"/>
    <mergeCell ref="CH7:CL7"/>
    <mergeCell ref="CM7:CQ7"/>
    <mergeCell ref="CR7:CU7"/>
    <mergeCell ref="CV7:CY7"/>
    <mergeCell ref="CZ7:DD7"/>
    <mergeCell ref="DE7:DH7"/>
    <mergeCell ref="DJ7:DM7"/>
    <mergeCell ref="DN7:DR7"/>
    <mergeCell ref="DS7:DV7"/>
    <mergeCell ref="DW7:DZ7"/>
    <mergeCell ref="DN11:DR11"/>
    <mergeCell ref="DS11:DV11"/>
    <mergeCell ref="DW11:DZ11"/>
    <mergeCell ref="BZ12:CC12"/>
    <mergeCell ref="CD12:CG12"/>
    <mergeCell ref="CH12:CL12"/>
    <mergeCell ref="CZ12:DD12"/>
    <mergeCell ref="DE12:DH12"/>
    <mergeCell ref="DN12:DR12"/>
    <mergeCell ref="DS12:DV12"/>
    <mergeCell ref="DW12:DZ12"/>
    <mergeCell ref="DJ8:DK8"/>
    <mergeCell ref="CR10:CU10"/>
    <mergeCell ref="CV10:CY10"/>
    <mergeCell ref="CZ10:DD10"/>
    <mergeCell ref="BZ11:CC11"/>
    <mergeCell ref="CD11:CG11"/>
    <mergeCell ref="CH11:CL11"/>
    <mergeCell ref="CM11:CQ11"/>
    <mergeCell ref="CR11:CU11"/>
    <mergeCell ref="CV11:CY11"/>
    <mergeCell ref="CZ11:DD11"/>
    <mergeCell ref="DE11:DH11"/>
    <mergeCell ref="DI11:DM11"/>
    <mergeCell ref="DI12:DM12"/>
    <mergeCell ref="CZ13:DD13"/>
    <mergeCell ref="DE13:DH13"/>
    <mergeCell ref="DN13:DR13"/>
    <mergeCell ref="DS13:DV13"/>
    <mergeCell ref="DW13:DZ13"/>
    <mergeCell ref="BZ14:CC14"/>
    <mergeCell ref="CD14:CG14"/>
    <mergeCell ref="CH14:CL14"/>
    <mergeCell ref="CM14:CQ14"/>
    <mergeCell ref="CR14:CU14"/>
    <mergeCell ref="CV14:CY14"/>
    <mergeCell ref="CZ14:DD14"/>
    <mergeCell ref="DE14:DH14"/>
    <mergeCell ref="DN14:DR14"/>
    <mergeCell ref="DS14:DV14"/>
    <mergeCell ref="DW14:DZ14"/>
    <mergeCell ref="DI13:DM13"/>
    <mergeCell ref="DI14:DM14"/>
    <mergeCell ref="DN15:DR15"/>
    <mergeCell ref="DS15:DV15"/>
    <mergeCell ref="DW15:DZ15"/>
    <mergeCell ref="BZ19:CC19"/>
    <mergeCell ref="CD19:CG19"/>
    <mergeCell ref="CH19:CL19"/>
    <mergeCell ref="CM19:CQ19"/>
    <mergeCell ref="CR19:CU19"/>
    <mergeCell ref="CV19:CY19"/>
    <mergeCell ref="CZ19:DD19"/>
    <mergeCell ref="DE19:DH19"/>
    <mergeCell ref="DN19:DR19"/>
    <mergeCell ref="DS19:DV19"/>
    <mergeCell ref="DW19:DZ19"/>
    <mergeCell ref="BZ15:CC15"/>
    <mergeCell ref="CD15:CG15"/>
    <mergeCell ref="CH15:CL15"/>
    <mergeCell ref="CM15:CQ15"/>
    <mergeCell ref="CR15:CU15"/>
    <mergeCell ref="CV15:CY15"/>
    <mergeCell ref="CZ15:DD15"/>
    <mergeCell ref="DE15:DH15"/>
    <mergeCell ref="DI15:DM15"/>
    <mergeCell ref="DI19:DM19"/>
    <mergeCell ref="DN24:DR24"/>
    <mergeCell ref="DS24:DV24"/>
    <mergeCell ref="DW24:DZ24"/>
    <mergeCell ref="DI22:DM22"/>
    <mergeCell ref="DI23:DM23"/>
    <mergeCell ref="DI24:DM24"/>
    <mergeCell ref="DN20:DR20"/>
    <mergeCell ref="DS20:DV20"/>
    <mergeCell ref="DW20:DZ20"/>
    <mergeCell ref="BZ21:CC21"/>
    <mergeCell ref="CD21:CG21"/>
    <mergeCell ref="CH21:CL21"/>
    <mergeCell ref="CM21:CQ21"/>
    <mergeCell ref="CR21:CU21"/>
    <mergeCell ref="CV21:CY21"/>
    <mergeCell ref="CZ21:DD21"/>
    <mergeCell ref="DE21:DH21"/>
    <mergeCell ref="DN21:DR21"/>
    <mergeCell ref="DS21:DV21"/>
    <mergeCell ref="DW21:DZ21"/>
    <mergeCell ref="BZ20:CC20"/>
    <mergeCell ref="CD20:CG20"/>
    <mergeCell ref="CH20:CL20"/>
    <mergeCell ref="CM20:CQ20"/>
    <mergeCell ref="CR20:CU20"/>
    <mergeCell ref="CV20:CY20"/>
    <mergeCell ref="CZ20:DD20"/>
    <mergeCell ref="DE20:DH20"/>
    <mergeCell ref="DI20:DM20"/>
    <mergeCell ref="DI21:DM21"/>
    <mergeCell ref="DN22:DR22"/>
    <mergeCell ref="DS22:DV22"/>
    <mergeCell ref="DW22:DZ22"/>
    <mergeCell ref="BZ23:CC23"/>
    <mergeCell ref="CD23:CG23"/>
    <mergeCell ref="CH23:CL23"/>
    <mergeCell ref="CM23:CQ23"/>
    <mergeCell ref="CR23:CU23"/>
    <mergeCell ref="CZ23:DD23"/>
    <mergeCell ref="DE23:DH23"/>
    <mergeCell ref="DN23:DR23"/>
    <mergeCell ref="DS23:DV23"/>
    <mergeCell ref="DW23:DZ23"/>
    <mergeCell ref="BZ22:CC22"/>
    <mergeCell ref="CD22:CG22"/>
    <mergeCell ref="CH22:CL22"/>
    <mergeCell ref="CM22:CQ22"/>
    <mergeCell ref="CR22:CU22"/>
    <mergeCell ref="CV22:CY22"/>
    <mergeCell ref="CZ22:DD22"/>
    <mergeCell ref="DE22:DH22"/>
    <mergeCell ref="CZ25:DD25"/>
    <mergeCell ref="DE25:DH25"/>
    <mergeCell ref="DN25:DR25"/>
    <mergeCell ref="DS25:DV25"/>
    <mergeCell ref="DW25:DZ25"/>
    <mergeCell ref="BZ24:CC24"/>
    <mergeCell ref="CD24:CG24"/>
    <mergeCell ref="CH24:CL24"/>
    <mergeCell ref="CM24:CQ24"/>
    <mergeCell ref="CR24:CU24"/>
    <mergeCell ref="DN26:DR26"/>
    <mergeCell ref="DS26:DV26"/>
    <mergeCell ref="DW26:DZ26"/>
    <mergeCell ref="EE26:EE27"/>
    <mergeCell ref="BZ27:CC27"/>
    <mergeCell ref="CD27:CG27"/>
    <mergeCell ref="CH27:CL27"/>
    <mergeCell ref="CM27:CQ27"/>
    <mergeCell ref="CR27:CU27"/>
    <mergeCell ref="CV27:CY27"/>
    <mergeCell ref="CZ27:DD27"/>
    <mergeCell ref="DE27:DH27"/>
    <mergeCell ref="DN27:DR27"/>
    <mergeCell ref="DS27:DV27"/>
    <mergeCell ref="DW27:DZ27"/>
    <mergeCell ref="BZ26:CC26"/>
    <mergeCell ref="CD26:CG26"/>
    <mergeCell ref="CH26:CL26"/>
    <mergeCell ref="CM26:CQ26"/>
    <mergeCell ref="CR26:CU26"/>
    <mergeCell ref="CZ24:DD24"/>
    <mergeCell ref="DE24:DH24"/>
    <mergeCell ref="CZ26:DD26"/>
    <mergeCell ref="DE26:DH26"/>
    <mergeCell ref="DN28:DR28"/>
    <mergeCell ref="DS28:DV28"/>
    <mergeCell ref="DW28:DZ28"/>
    <mergeCell ref="EE28:EE29"/>
    <mergeCell ref="BZ29:CC29"/>
    <mergeCell ref="CD29:CG29"/>
    <mergeCell ref="CH29:CL29"/>
    <mergeCell ref="CM29:CQ29"/>
    <mergeCell ref="CR29:CU29"/>
    <mergeCell ref="CV29:CY29"/>
    <mergeCell ref="CZ29:DD29"/>
    <mergeCell ref="DE29:DH29"/>
    <mergeCell ref="DN29:DR29"/>
    <mergeCell ref="DS29:DV29"/>
    <mergeCell ref="DW29:DZ29"/>
    <mergeCell ref="BZ28:CC28"/>
    <mergeCell ref="CD28:CG28"/>
    <mergeCell ref="CH28:CL28"/>
    <mergeCell ref="CM28:CQ28"/>
    <mergeCell ref="CR28:CU28"/>
    <mergeCell ref="CV28:CY28"/>
    <mergeCell ref="CZ28:DD28"/>
    <mergeCell ref="DE28:DH28"/>
    <mergeCell ref="DW30:DZ30"/>
    <mergeCell ref="BZ31:CC31"/>
    <mergeCell ref="CD31:CG31"/>
    <mergeCell ref="CH31:CL31"/>
    <mergeCell ref="CM31:CQ31"/>
    <mergeCell ref="CR31:CU31"/>
    <mergeCell ref="CV31:CY31"/>
    <mergeCell ref="CZ31:DD31"/>
    <mergeCell ref="DE31:DH31"/>
    <mergeCell ref="DN31:DR31"/>
    <mergeCell ref="DS31:DV31"/>
    <mergeCell ref="DW31:DZ31"/>
    <mergeCell ref="BZ30:CC30"/>
    <mergeCell ref="CD30:CG30"/>
    <mergeCell ref="CH30:CL30"/>
    <mergeCell ref="CM30:CQ30"/>
    <mergeCell ref="CR30:CU30"/>
    <mergeCell ref="CV30:CY30"/>
    <mergeCell ref="CZ30:DD30"/>
    <mergeCell ref="DE30:DH30"/>
    <mergeCell ref="DW32:DZ32"/>
    <mergeCell ref="BZ36:CC36"/>
    <mergeCell ref="CD36:CG36"/>
    <mergeCell ref="CH36:CL36"/>
    <mergeCell ref="CM36:CQ36"/>
    <mergeCell ref="CR36:CU36"/>
    <mergeCell ref="CV36:CY36"/>
    <mergeCell ref="CZ36:DD36"/>
    <mergeCell ref="DE36:DH36"/>
    <mergeCell ref="DN36:DR36"/>
    <mergeCell ref="DS36:DV36"/>
    <mergeCell ref="DW36:DZ36"/>
    <mergeCell ref="BZ32:CC32"/>
    <mergeCell ref="CD32:CG32"/>
    <mergeCell ref="CH32:CL32"/>
    <mergeCell ref="CM32:CQ32"/>
    <mergeCell ref="CR32:CU32"/>
    <mergeCell ref="CV32:CY32"/>
    <mergeCell ref="CZ32:DD32"/>
    <mergeCell ref="DE32:DH32"/>
    <mergeCell ref="DW37:DZ37"/>
    <mergeCell ref="BZ38:CC38"/>
    <mergeCell ref="CD38:CG38"/>
    <mergeCell ref="CH38:CL38"/>
    <mergeCell ref="CM38:CQ38"/>
    <mergeCell ref="CR38:CU38"/>
    <mergeCell ref="CV38:CY38"/>
    <mergeCell ref="CZ38:DD38"/>
    <mergeCell ref="DE38:DH38"/>
    <mergeCell ref="DN38:DR38"/>
    <mergeCell ref="DS38:DV38"/>
    <mergeCell ref="DW38:DZ38"/>
    <mergeCell ref="BZ37:CC37"/>
    <mergeCell ref="CD37:CG37"/>
    <mergeCell ref="CH37:CL37"/>
    <mergeCell ref="CM37:CQ37"/>
    <mergeCell ref="CR37:CU37"/>
    <mergeCell ref="CV37:CY37"/>
    <mergeCell ref="CZ37:DD37"/>
    <mergeCell ref="DE37:DH37"/>
    <mergeCell ref="DW40:DZ40"/>
    <mergeCell ref="BZ41:CC41"/>
    <mergeCell ref="CD41:CG41"/>
    <mergeCell ref="CH41:CL41"/>
    <mergeCell ref="CM41:CQ41"/>
    <mergeCell ref="CR41:CU41"/>
    <mergeCell ref="CV41:CY41"/>
    <mergeCell ref="CZ41:DD41"/>
    <mergeCell ref="DE41:DH41"/>
    <mergeCell ref="DN41:DR41"/>
    <mergeCell ref="DS41:DV41"/>
    <mergeCell ref="DW41:DZ41"/>
    <mergeCell ref="CZ44:DD44"/>
    <mergeCell ref="DE44:DH44"/>
    <mergeCell ref="DI44:DM44"/>
    <mergeCell ref="DN42:DR42"/>
    <mergeCell ref="DS42:DV42"/>
    <mergeCell ref="DW42:DZ42"/>
    <mergeCell ref="BZ43:CC43"/>
    <mergeCell ref="CD43:CG43"/>
    <mergeCell ref="CH43:CL43"/>
    <mergeCell ref="CM43:CQ43"/>
    <mergeCell ref="CR43:CU43"/>
    <mergeCell ref="CV43:CY43"/>
    <mergeCell ref="CZ43:DD43"/>
    <mergeCell ref="DE43:DH43"/>
    <mergeCell ref="DI43:DM43"/>
    <mergeCell ref="DN43:DR43"/>
    <mergeCell ref="DS43:DV43"/>
    <mergeCell ref="DW43:DZ43"/>
    <mergeCell ref="CD40:CG40"/>
    <mergeCell ref="CH40:CL40"/>
    <mergeCell ref="BZ42:CC42"/>
    <mergeCell ref="CD42:CG42"/>
    <mergeCell ref="CH42:CL42"/>
    <mergeCell ref="CM42:CQ42"/>
    <mergeCell ref="CR42:CU42"/>
    <mergeCell ref="CV42:CY42"/>
    <mergeCell ref="CZ42:DD42"/>
    <mergeCell ref="DE42:DH42"/>
    <mergeCell ref="CM47:CQ47"/>
    <mergeCell ref="CV47:CY47"/>
    <mergeCell ref="CZ47:DD47"/>
    <mergeCell ref="DE47:DH47"/>
    <mergeCell ref="DS47:DV47"/>
    <mergeCell ref="CV48:CY48"/>
    <mergeCell ref="CZ48:DD48"/>
    <mergeCell ref="CZ49:DD49"/>
    <mergeCell ref="DS40:DV40"/>
    <mergeCell ref="CM40:CQ40"/>
    <mergeCell ref="CR40:CU40"/>
    <mergeCell ref="CV40:CY40"/>
    <mergeCell ref="CZ40:DD40"/>
    <mergeCell ref="DE40:DH40"/>
    <mergeCell ref="DN40:DR40"/>
    <mergeCell ref="BZ51:CC51"/>
    <mergeCell ref="CD51:CG51"/>
    <mergeCell ref="CH51:CJ51"/>
    <mergeCell ref="DN44:DR44"/>
    <mergeCell ref="DS44:DV44"/>
    <mergeCell ref="DW44:DZ44"/>
    <mergeCell ref="BZ46:CC46"/>
    <mergeCell ref="CD46:CG46"/>
    <mergeCell ref="CH46:CL46"/>
    <mergeCell ref="CM46:CQ46"/>
    <mergeCell ref="CR46:CU46"/>
    <mergeCell ref="CV46:CY46"/>
    <mergeCell ref="CZ46:DD46"/>
    <mergeCell ref="DE46:DH46"/>
    <mergeCell ref="DN46:DR46"/>
    <mergeCell ref="DS46:DV46"/>
    <mergeCell ref="DW46:DZ46"/>
    <mergeCell ref="BZ44:CC44"/>
    <mergeCell ref="CD44:CG44"/>
    <mergeCell ref="CH44:CL44"/>
    <mergeCell ref="CM44:CQ44"/>
    <mergeCell ref="CR44:CU44"/>
    <mergeCell ref="CV44:CY44"/>
    <mergeCell ref="DW52:DZ52"/>
    <mergeCell ref="BZ53:CC53"/>
    <mergeCell ref="CD53:CG53"/>
    <mergeCell ref="CH53:CL53"/>
    <mergeCell ref="CM53:CQ53"/>
    <mergeCell ref="CR53:CU53"/>
    <mergeCell ref="CV53:CY53"/>
    <mergeCell ref="CZ53:DD53"/>
    <mergeCell ref="DE53:DH53"/>
    <mergeCell ref="DI53:DM53"/>
    <mergeCell ref="DN53:DR53"/>
    <mergeCell ref="DS53:DV53"/>
    <mergeCell ref="DW53:DZ53"/>
    <mergeCell ref="BZ52:CC52"/>
    <mergeCell ref="CD52:CG52"/>
    <mergeCell ref="CH52:CL52"/>
    <mergeCell ref="CM52:CQ52"/>
    <mergeCell ref="CR52:CU52"/>
    <mergeCell ref="CV52:CY52"/>
    <mergeCell ref="CZ52:DD52"/>
    <mergeCell ref="DE52:DH52"/>
    <mergeCell ref="DI52:DM52"/>
    <mergeCell ref="DW54:DZ54"/>
    <mergeCell ref="BZ55:CC55"/>
    <mergeCell ref="CD55:CG55"/>
    <mergeCell ref="CH55:CL55"/>
    <mergeCell ref="CM55:CQ55"/>
    <mergeCell ref="CR55:CU55"/>
    <mergeCell ref="CV55:CY55"/>
    <mergeCell ref="CZ55:DD55"/>
    <mergeCell ref="DE55:DH55"/>
    <mergeCell ref="DI55:DM55"/>
    <mergeCell ref="DN55:DR55"/>
    <mergeCell ref="DS55:DV55"/>
    <mergeCell ref="DW55:DZ55"/>
    <mergeCell ref="BZ54:CC54"/>
    <mergeCell ref="CD54:CG54"/>
    <mergeCell ref="CH54:CL54"/>
    <mergeCell ref="CM54:CQ54"/>
    <mergeCell ref="CR54:CU54"/>
    <mergeCell ref="CV54:CY54"/>
    <mergeCell ref="CZ54:DD54"/>
    <mergeCell ref="DE54:DH54"/>
    <mergeCell ref="DI54:DM54"/>
    <mergeCell ref="DW56:DZ56"/>
    <mergeCell ref="BZ57:CC57"/>
    <mergeCell ref="CD57:CG57"/>
    <mergeCell ref="CH57:CL57"/>
    <mergeCell ref="CM57:CQ57"/>
    <mergeCell ref="DS57:DV57"/>
    <mergeCell ref="BZ58:CC58"/>
    <mergeCell ref="CD58:CG58"/>
    <mergeCell ref="CH58:CL58"/>
    <mergeCell ref="CM58:CQ58"/>
    <mergeCell ref="CR58:CU58"/>
    <mergeCell ref="CV58:CY58"/>
    <mergeCell ref="CZ58:DD58"/>
    <mergeCell ref="DE58:DH58"/>
    <mergeCell ref="DI58:DM58"/>
    <mergeCell ref="DN58:DR58"/>
    <mergeCell ref="DS58:DV58"/>
    <mergeCell ref="DW58:DZ58"/>
    <mergeCell ref="BZ56:CC56"/>
    <mergeCell ref="CD56:CG56"/>
    <mergeCell ref="CH56:CL56"/>
    <mergeCell ref="CM56:CQ56"/>
    <mergeCell ref="CR56:CU56"/>
    <mergeCell ref="CV56:CY56"/>
    <mergeCell ref="CZ56:DD56"/>
    <mergeCell ref="DE56:DH56"/>
    <mergeCell ref="DI56:DM56"/>
    <mergeCell ref="DW59:DZ59"/>
    <mergeCell ref="BZ60:CC60"/>
    <mergeCell ref="CD60:CG60"/>
    <mergeCell ref="CH60:CL60"/>
    <mergeCell ref="CM60:CQ60"/>
    <mergeCell ref="CR60:CU60"/>
    <mergeCell ref="CV60:CY60"/>
    <mergeCell ref="CZ60:DD60"/>
    <mergeCell ref="DE60:DH60"/>
    <mergeCell ref="DI60:DM60"/>
    <mergeCell ref="DN60:DR60"/>
    <mergeCell ref="DS60:DV60"/>
    <mergeCell ref="DW60:DZ60"/>
    <mergeCell ref="BZ59:CC59"/>
    <mergeCell ref="CD59:CG59"/>
    <mergeCell ref="CH59:CL59"/>
    <mergeCell ref="CM59:CQ59"/>
    <mergeCell ref="CR59:CU59"/>
    <mergeCell ref="CV59:CY59"/>
    <mergeCell ref="CZ59:DD59"/>
    <mergeCell ref="DE59:DH59"/>
    <mergeCell ref="DI59:DM59"/>
    <mergeCell ref="CR62:CU62"/>
    <mergeCell ref="CV62:CY62"/>
    <mergeCell ref="CZ62:DD62"/>
    <mergeCell ref="DE62:DH62"/>
    <mergeCell ref="DI62:DM62"/>
    <mergeCell ref="DN62:DR62"/>
    <mergeCell ref="DS62:DV62"/>
    <mergeCell ref="DW62:DZ62"/>
    <mergeCell ref="BZ61:CC61"/>
    <mergeCell ref="CD61:CG61"/>
    <mergeCell ref="CH61:CL61"/>
    <mergeCell ref="CM61:CQ61"/>
    <mergeCell ref="CR61:CU61"/>
    <mergeCell ref="CV61:CY61"/>
    <mergeCell ref="CZ61:DD61"/>
    <mergeCell ref="DE61:DH61"/>
    <mergeCell ref="DI61:DM61"/>
    <mergeCell ref="DW65:DZ65"/>
    <mergeCell ref="DV69:EA69"/>
    <mergeCell ref="DX70:EA70"/>
    <mergeCell ref="DX71:EA71"/>
    <mergeCell ref="BY9:BY10"/>
    <mergeCell ref="BY17:BY18"/>
    <mergeCell ref="BY34:BY35"/>
    <mergeCell ref="BY50:BY51"/>
    <mergeCell ref="CV24:CY24"/>
    <mergeCell ref="CR57:CU57"/>
    <mergeCell ref="CV57:CY57"/>
    <mergeCell ref="CZ57:DD57"/>
    <mergeCell ref="DE57:DH57"/>
    <mergeCell ref="DI57:DM57"/>
    <mergeCell ref="DN57:DR57"/>
    <mergeCell ref="DW57:DZ57"/>
    <mergeCell ref="BZ65:CC65"/>
    <mergeCell ref="CD65:CG65"/>
    <mergeCell ref="CH65:CL65"/>
    <mergeCell ref="CM65:CQ65"/>
    <mergeCell ref="CR65:CU65"/>
    <mergeCell ref="CV65:CY65"/>
    <mergeCell ref="CZ65:DD65"/>
    <mergeCell ref="DE65:DH65"/>
    <mergeCell ref="DI65:DM65"/>
    <mergeCell ref="DN61:DR61"/>
    <mergeCell ref="DS61:DV61"/>
    <mergeCell ref="DW61:DZ61"/>
    <mergeCell ref="BZ62:CC62"/>
    <mergeCell ref="CD62:CG62"/>
    <mergeCell ref="CH62:CL62"/>
    <mergeCell ref="CM62:CQ62"/>
    <mergeCell ref="DI25:DM25"/>
    <mergeCell ref="DI26:DM26"/>
    <mergeCell ref="DI27:DM27"/>
    <mergeCell ref="DI28:DM28"/>
    <mergeCell ref="DI29:DM29"/>
    <mergeCell ref="DI30:DM30"/>
    <mergeCell ref="DI31:DM31"/>
    <mergeCell ref="DI32:DM32"/>
    <mergeCell ref="DI36:DM36"/>
    <mergeCell ref="DI37:DM37"/>
    <mergeCell ref="DI38:DM38"/>
    <mergeCell ref="DI40:DM40"/>
    <mergeCell ref="DI41:DM41"/>
    <mergeCell ref="DI42:DM42"/>
    <mergeCell ref="DI46:DM46"/>
    <mergeCell ref="DN65:DR65"/>
    <mergeCell ref="DS65:DV65"/>
    <mergeCell ref="DN59:DR59"/>
    <mergeCell ref="DS59:DV59"/>
    <mergeCell ref="DN56:DR56"/>
    <mergeCell ref="DS56:DV56"/>
    <mergeCell ref="DN54:DR54"/>
    <mergeCell ref="DS54:DV54"/>
    <mergeCell ref="DN52:DR52"/>
    <mergeCell ref="DS52:DV52"/>
    <mergeCell ref="DN37:DR37"/>
    <mergeCell ref="DS37:DV37"/>
    <mergeCell ref="DN32:DR32"/>
    <mergeCell ref="DS32:DV32"/>
    <mergeCell ref="DN30:DR30"/>
    <mergeCell ref="DS30:DV30"/>
  </mergeCells>
  <conditionalFormatting sqref="E19:BA31 BB20">
    <cfRule type="colorScale" priority="16">
      <colorScale>
        <cfvo type="min"/>
        <cfvo type="percent" val="50"/>
        <cfvo type="max"/>
        <color rgb="FFFFFFFF"/>
        <color rgb="FFFFD966"/>
        <color rgb="FFE67C73"/>
      </colorScale>
    </cfRule>
  </conditionalFormatting>
  <conditionalFormatting sqref="E43:BE43">
    <cfRule type="expression" dxfId="3" priority="7">
      <formula>E43&gt;E44</formula>
    </cfRule>
    <cfRule type="expression" dxfId="2" priority="8">
      <formula>E43&lt;E44</formula>
    </cfRule>
  </conditionalFormatting>
  <conditionalFormatting sqref="M11:BE14">
    <cfRule type="colorScale" priority="12">
      <colorScale>
        <cfvo type="min"/>
        <cfvo type="percent" val="50"/>
        <cfvo type="max"/>
        <color rgb="FFFFFFFF"/>
        <color rgb="FFFFD966"/>
        <color rgb="FFE67C73"/>
      </colorScale>
    </cfRule>
  </conditionalFormatting>
  <conditionalFormatting sqref="BZ43:DZ43">
    <cfRule type="expression" dxfId="1" priority="2">
      <formula>BZ43&lt;BZ44</formula>
    </cfRule>
    <cfRule type="expression" dxfId="0" priority="1">
      <formula>BZ43&gt;BZ44</formula>
    </cfRule>
  </conditionalFormatting>
  <conditionalFormatting sqref="CH11:DI14 DN11:DZ14">
    <cfRule type="colorScale" priority="3">
      <colorScale>
        <cfvo type="min"/>
        <cfvo type="percent" val="50"/>
        <cfvo type="max"/>
        <color rgb="FFFFFFFF"/>
        <color rgb="FFFFD966"/>
        <color rgb="FFE67C73"/>
      </colorScale>
    </cfRule>
  </conditionalFormatting>
  <conditionalFormatting sqref="DN19:DV31 DW20 BZ19:DI31">
    <cfRule type="colorScale" priority="4">
      <colorScale>
        <cfvo type="min"/>
        <cfvo type="percent" val="50"/>
        <cfvo type="max"/>
        <color rgb="FFFFFFFF"/>
        <color rgb="FFFFD966"/>
        <color rgb="FFE67C73"/>
      </colorScale>
    </cfRule>
  </conditionalFormatting>
  <printOptions horizontalCentered="1"/>
  <pageMargins left="0.7" right="0.7" top="0.75" bottom="0.75" header="0" footer="0"/>
  <pageSetup paperSize="3" pageOrder="overThenDown" orientation="landscape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7642783BF5F549AD8264003DAC5479" ma:contentTypeVersion="3" ma:contentTypeDescription="Crée un document." ma:contentTypeScope="" ma:versionID="dce298f75874831ad4b69d3856d448b0">
  <xsd:schema xmlns:xsd="http://www.w3.org/2001/XMLSchema" xmlns:xs="http://www.w3.org/2001/XMLSchema" xmlns:p="http://schemas.microsoft.com/office/2006/metadata/properties" xmlns:ns2="be3f775b-911d-49d5-9e9c-70e93af7b92b" targetNamespace="http://schemas.microsoft.com/office/2006/metadata/properties" ma:root="true" ma:fieldsID="b29a77cbcb573c1061bfa2edeefbf14c" ns2:_="">
    <xsd:import namespace="be3f775b-911d-49d5-9e9c-70e93af7b9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f775b-911d-49d5-9e9c-70e93af7b9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BE0A53-C52A-4CF4-AE66-CDA8FCBB341F}"/>
</file>

<file path=customXml/itemProps2.xml><?xml version="1.0" encoding="utf-8"?>
<ds:datastoreItem xmlns:ds="http://schemas.openxmlformats.org/officeDocument/2006/customXml" ds:itemID="{B8FDC57F-99B6-42D9-BDF2-CD94A729E433}"/>
</file>

<file path=customXml/itemProps3.xml><?xml version="1.0" encoding="utf-8"?>
<ds:datastoreItem xmlns:ds="http://schemas.openxmlformats.org/officeDocument/2006/customXml" ds:itemID="{4ECEFD6D-ACAB-4E7E-9CD9-1AC6C0B8D4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2025-03-14T18:56:42Z</dcterms:created>
  <dcterms:modified xsi:type="dcterms:W3CDTF">2026-01-24T03:23:39Z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0x010100DF7642783BF5F549AD8264003DAC5479</vt:lpwstr>
  </property>
</Properties>
</file>