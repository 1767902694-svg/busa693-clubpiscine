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/>
  <mc:AlternateContent xmlns:mc="http://schemas.openxmlformats.org/markup-compatibility/2006">
    <mc:Choice Requires="x15">
      <x15ac:absPath xmlns:x15ac="http://schemas.microsoft.com/office/spreadsheetml/2010/11/ac" url="/Users/vincent/Downloads/"/>
    </mc:Choice>
  </mc:AlternateContent>
  <xr:revisionPtr revIDLastSave="0" documentId="8_{40DA7134-ACEA-470F-9202-179A02FC610A}" xr6:coauthVersionLast="47" xr6:coauthVersionMax="47" xr10:uidLastSave="{00000000-0000-0000-0000-000000000000}"/>
  <bookViews>
    <workbookView xWindow="0" yWindow="760" windowWidth="34560" windowHeight="20460" xr2:uid="{00000000-000D-0000-FFFF-FFFF00000000}"/>
  </bookViews>
  <sheets>
    <sheet name="REEL-2023 AU 30 SEPTEMBRE" sheetId="1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K154" i="11" l="1"/>
  <c r="BK153" i="11"/>
  <c r="BK152" i="11"/>
  <c r="BK151" i="11"/>
  <c r="BK61" i="11"/>
  <c r="BC61" i="11"/>
  <c r="AS61" i="11"/>
  <c r="AN61" i="11"/>
  <c r="AI61" i="11"/>
  <c r="AE61" i="11"/>
  <c r="AA61" i="11"/>
  <c r="W61" i="11"/>
  <c r="R61" i="11"/>
  <c r="N61" i="11"/>
  <c r="N64" i="11" s="1"/>
  <c r="I61" i="11"/>
  <c r="E61" i="11"/>
  <c r="BL60" i="11"/>
  <c r="BM60" i="11" s="1"/>
  <c r="BH60" i="11"/>
  <c r="BH59" i="11"/>
  <c r="BL59" i="11" s="1"/>
  <c r="BM59" i="11" s="1"/>
  <c r="BM58" i="11"/>
  <c r="BL58" i="11"/>
  <c r="BH58" i="11"/>
  <c r="BH57" i="11"/>
  <c r="BL57" i="11" s="1"/>
  <c r="BM57" i="11" s="1"/>
  <c r="AW56" i="11"/>
  <c r="AW61" i="11" s="1"/>
  <c r="BM55" i="11"/>
  <c r="BL55" i="11"/>
  <c r="BH55" i="11"/>
  <c r="BH54" i="11"/>
  <c r="BL54" i="11" s="1"/>
  <c r="BM54" i="11" s="1"/>
  <c r="BH48" i="11"/>
  <c r="N45" i="11"/>
  <c r="I45" i="11"/>
  <c r="BH44" i="11"/>
  <c r="N43" i="11"/>
  <c r="E43" i="11"/>
  <c r="BK41" i="11"/>
  <c r="BK43" i="11" s="1"/>
  <c r="AS41" i="11"/>
  <c r="AS43" i="11" s="1"/>
  <c r="AN41" i="11"/>
  <c r="AI41" i="11"/>
  <c r="AI43" i="11" s="1"/>
  <c r="I41" i="11"/>
  <c r="I43" i="11" s="1"/>
  <c r="E41" i="11"/>
  <c r="BI40" i="11"/>
  <c r="BH40" i="11"/>
  <c r="BL40" i="11" s="1"/>
  <c r="BM40" i="11" s="1"/>
  <c r="AN39" i="11"/>
  <c r="BC38" i="11"/>
  <c r="AS38" i="11"/>
  <c r="AI38" i="11"/>
  <c r="AE38" i="11"/>
  <c r="AA38" i="11"/>
  <c r="W38" i="11"/>
  <c r="N38" i="11"/>
  <c r="I38" i="11"/>
  <c r="E38" i="11"/>
  <c r="AS37" i="11"/>
  <c r="AI37" i="11"/>
  <c r="AE37" i="11"/>
  <c r="AA37" i="11"/>
  <c r="W37" i="11"/>
  <c r="N37" i="11"/>
  <c r="I37" i="11"/>
  <c r="E37" i="11"/>
  <c r="BC36" i="11"/>
  <c r="BC37" i="11" s="1"/>
  <c r="AW36" i="11"/>
  <c r="AO36" i="11"/>
  <c r="AO38" i="11" s="1"/>
  <c r="AN36" i="11"/>
  <c r="R36" i="11"/>
  <c r="BC35" i="11"/>
  <c r="AI35" i="11"/>
  <c r="AA35" i="11"/>
  <c r="N35" i="11"/>
  <c r="I35" i="11"/>
  <c r="E35" i="11"/>
  <c r="BC34" i="11"/>
  <c r="AO34" i="11"/>
  <c r="AI34" i="11"/>
  <c r="AA34" i="11"/>
  <c r="N34" i="11"/>
  <c r="I34" i="11"/>
  <c r="E34" i="11"/>
  <c r="BK33" i="11"/>
  <c r="AX33" i="11"/>
  <c r="AW33" i="11"/>
  <c r="AS33" i="11"/>
  <c r="AS35" i="11" s="1"/>
  <c r="AO33" i="11"/>
  <c r="AO35" i="11" s="1"/>
  <c r="AA33" i="11"/>
  <c r="W33" i="11"/>
  <c r="BC32" i="11"/>
  <c r="AX32" i="11"/>
  <c r="AS32" i="11"/>
  <c r="AI32" i="11"/>
  <c r="N32" i="11"/>
  <c r="I32" i="11"/>
  <c r="E32" i="11"/>
  <c r="BC31" i="11"/>
  <c r="AX31" i="11"/>
  <c r="AS31" i="11"/>
  <c r="AI31" i="11"/>
  <c r="AA31" i="11"/>
  <c r="W31" i="11"/>
  <c r="N31" i="11"/>
  <c r="I31" i="11"/>
  <c r="E31" i="11"/>
  <c r="BC30" i="11"/>
  <c r="AX30" i="11"/>
  <c r="AO30" i="11"/>
  <c r="AO31" i="11" s="1"/>
  <c r="AE30" i="11"/>
  <c r="AA30" i="11"/>
  <c r="AA32" i="11" s="1"/>
  <c r="W30" i="11"/>
  <c r="W32" i="11" s="1"/>
  <c r="R30" i="11"/>
  <c r="BC29" i="11"/>
  <c r="AS29" i="11"/>
  <c r="AO29" i="11"/>
  <c r="AI29" i="11"/>
  <c r="AE29" i="11"/>
  <c r="AA29" i="11"/>
  <c r="W29" i="11"/>
  <c r="N29" i="11"/>
  <c r="I29" i="11"/>
  <c r="E29" i="11"/>
  <c r="BC28" i="11"/>
  <c r="AS28" i="11"/>
  <c r="AO28" i="11"/>
  <c r="AI28" i="11"/>
  <c r="AE28" i="11"/>
  <c r="AA28" i="11"/>
  <c r="W28" i="11"/>
  <c r="R28" i="11"/>
  <c r="N28" i="11"/>
  <c r="I28" i="11"/>
  <c r="E28" i="11"/>
  <c r="BC27" i="11"/>
  <c r="AS27" i="11"/>
  <c r="AO27" i="11"/>
  <c r="AI27" i="11"/>
  <c r="AE27" i="11"/>
  <c r="AA27" i="11"/>
  <c r="W27" i="11"/>
  <c r="R27" i="11"/>
  <c r="N27" i="11"/>
  <c r="I27" i="11"/>
  <c r="E27" i="11"/>
  <c r="BC26" i="11"/>
  <c r="AS26" i="11"/>
  <c r="AO26" i="11"/>
  <c r="AI26" i="11"/>
  <c r="AE26" i="11"/>
  <c r="AA26" i="11"/>
  <c r="N26" i="11"/>
  <c r="I26" i="11"/>
  <c r="E26" i="11"/>
  <c r="AX25" i="11"/>
  <c r="AX28" i="11" s="1"/>
  <c r="AO25" i="11"/>
  <c r="AN25" i="11"/>
  <c r="W25" i="11"/>
  <c r="W26" i="11" s="1"/>
  <c r="R25" i="11"/>
  <c r="BH25" i="11" s="1"/>
  <c r="BM24" i="11"/>
  <c r="BH24" i="11"/>
  <c r="BL24" i="11" s="1"/>
  <c r="AS23" i="11"/>
  <c r="AO23" i="11"/>
  <c r="AA23" i="11"/>
  <c r="R23" i="11"/>
  <c r="N23" i="11"/>
  <c r="N41" i="11" s="1"/>
  <c r="I23" i="11"/>
  <c r="AX19" i="11"/>
  <c r="AW19" i="11"/>
  <c r="AS19" i="11"/>
  <c r="AO19" i="11"/>
  <c r="AN19" i="11"/>
  <c r="AI19" i="11"/>
  <c r="AE19" i="11"/>
  <c r="AA19" i="11"/>
  <c r="W19" i="11"/>
  <c r="R19" i="11"/>
  <c r="N19" i="11"/>
  <c r="I19" i="11"/>
  <c r="E19" i="11"/>
  <c r="BL18" i="11"/>
  <c r="BM18" i="11" s="1"/>
  <c r="BH18" i="11"/>
  <c r="BL17" i="11"/>
  <c r="BM17" i="11" s="1"/>
  <c r="BH17" i="11"/>
  <c r="AO17" i="11"/>
  <c r="AX16" i="11"/>
  <c r="AS16" i="11"/>
  <c r="AO16" i="11"/>
  <c r="AI16" i="11"/>
  <c r="AE16" i="11"/>
  <c r="AA16" i="11"/>
  <c r="W16" i="11"/>
  <c r="R16" i="11"/>
  <c r="N16" i="11"/>
  <c r="BH16" i="11" s="1"/>
  <c r="BL16" i="11" s="1"/>
  <c r="BM16" i="11" s="1"/>
  <c r="I16" i="11"/>
  <c r="E16" i="11"/>
  <c r="AX15" i="11"/>
  <c r="AS15" i="11"/>
  <c r="AI15" i="11"/>
  <c r="AE15" i="11"/>
  <c r="AA15" i="11"/>
  <c r="W15" i="11"/>
  <c r="R15" i="11"/>
  <c r="N15" i="11"/>
  <c r="I15" i="11"/>
  <c r="E15" i="11"/>
  <c r="BC14" i="11"/>
  <c r="BC16" i="11" s="1"/>
  <c r="AO14" i="11"/>
  <c r="AO15" i="11" s="1"/>
  <c r="AN14" i="11"/>
  <c r="AX13" i="11"/>
  <c r="AS13" i="11"/>
  <c r="AO13" i="11"/>
  <c r="AI13" i="11"/>
  <c r="AE13" i="11"/>
  <c r="AA13" i="11"/>
  <c r="W13" i="11"/>
  <c r="R13" i="11"/>
  <c r="N13" i="11"/>
  <c r="I13" i="11"/>
  <c r="E13" i="11"/>
  <c r="BC12" i="11"/>
  <c r="AX12" i="11"/>
  <c r="AS12" i="11"/>
  <c r="AO12" i="11"/>
  <c r="AI12" i="11"/>
  <c r="AE12" i="11"/>
  <c r="AA12" i="11"/>
  <c r="W12" i="11"/>
  <c r="R12" i="11"/>
  <c r="N12" i="11"/>
  <c r="I12" i="11"/>
  <c r="E12" i="11"/>
  <c r="BH11" i="11"/>
  <c r="BL11" i="11" s="1"/>
  <c r="BM11" i="11" s="1"/>
  <c r="BC11" i="11"/>
  <c r="BC13" i="11" s="1"/>
  <c r="AE11" i="11"/>
  <c r="W11" i="11"/>
  <c r="AA11" i="11" s="1"/>
  <c r="BL25" i="11" l="1"/>
  <c r="BM25" i="11" s="1"/>
  <c r="BH15" i="11"/>
  <c r="BL15" i="11" s="1"/>
  <c r="BM15" i="11" s="1"/>
  <c r="AS64" i="11"/>
  <c r="AS45" i="11"/>
  <c r="BH12" i="11"/>
  <c r="BL12" i="11" s="1"/>
  <c r="BM12" i="11" s="1"/>
  <c r="E45" i="11"/>
  <c r="E64" i="11"/>
  <c r="BH28" i="11"/>
  <c r="BL28" i="11" s="1"/>
  <c r="BM28" i="11" s="1"/>
  <c r="AX36" i="11"/>
  <c r="AW41" i="11"/>
  <c r="AW43" i="11" s="1"/>
  <c r="BH13" i="11"/>
  <c r="BL13" i="11" s="1"/>
  <c r="BM13" i="11" s="1"/>
  <c r="BC15" i="11"/>
  <c r="W35" i="11"/>
  <c r="W41" i="11"/>
  <c r="W43" i="11" s="1"/>
  <c r="AO37" i="11"/>
  <c r="W64" i="11"/>
  <c r="R33" i="11"/>
  <c r="R32" i="11"/>
  <c r="BH30" i="11"/>
  <c r="AI45" i="11"/>
  <c r="AI64" i="11"/>
  <c r="AA64" i="11"/>
  <c r="R26" i="11"/>
  <c r="BH26" i="11" s="1"/>
  <c r="BL26" i="11" s="1"/>
  <c r="BM26" i="11" s="1"/>
  <c r="R29" i="11"/>
  <c r="BH29" i="11" s="1"/>
  <c r="BL29" i="11" s="1"/>
  <c r="BM29" i="11" s="1"/>
  <c r="R31" i="11"/>
  <c r="BH31" i="11" s="1"/>
  <c r="W34" i="11"/>
  <c r="AN43" i="11"/>
  <c r="AE31" i="11"/>
  <c r="AE32" i="11"/>
  <c r="AE33" i="11"/>
  <c r="AO32" i="11"/>
  <c r="AX35" i="11"/>
  <c r="AX34" i="11"/>
  <c r="AX27" i="11"/>
  <c r="AX29" i="11"/>
  <c r="AX26" i="11"/>
  <c r="BH36" i="11"/>
  <c r="R38" i="11"/>
  <c r="R37" i="11"/>
  <c r="BC19" i="11"/>
  <c r="BH19" i="11" s="1"/>
  <c r="BH23" i="11"/>
  <c r="BH56" i="11"/>
  <c r="BL56" i="11" s="1"/>
  <c r="BM56" i="11" s="1"/>
  <c r="BH61" i="11"/>
  <c r="BK64" i="11"/>
  <c r="BH14" i="11"/>
  <c r="BI18" i="11"/>
  <c r="AA41" i="11"/>
  <c r="AA43" i="11" s="1"/>
  <c r="AS34" i="11"/>
  <c r="AO39" i="11"/>
  <c r="AO41" i="11" s="1"/>
  <c r="AO43" i="11" s="1"/>
  <c r="AO45" i="11" s="1"/>
  <c r="BC41" i="11"/>
  <c r="BC43" i="11" s="1"/>
  <c r="I64" i="11"/>
  <c r="BC64" i="11"/>
  <c r="BH27" i="11"/>
  <c r="BL27" i="11" s="1"/>
  <c r="BM27" i="11" s="1"/>
  <c r="BL19" i="11" l="1"/>
  <c r="BM19" i="11" s="1"/>
  <c r="BC45" i="11"/>
  <c r="BL61" i="11"/>
  <c r="BM61" i="11" s="1"/>
  <c r="BH39" i="11"/>
  <c r="BH32" i="11"/>
  <c r="W45" i="11"/>
  <c r="AW45" i="11"/>
  <c r="AE34" i="11"/>
  <c r="AE35" i="11"/>
  <c r="AE41" i="11"/>
  <c r="AE43" i="11" s="1"/>
  <c r="R35" i="11"/>
  <c r="BH35" i="11" s="1"/>
  <c r="BH33" i="11"/>
  <c r="R34" i="11"/>
  <c r="BH34" i="11" s="1"/>
  <c r="AX41" i="11"/>
  <c r="AX43" i="11" s="1"/>
  <c r="AX38" i="11"/>
  <c r="BH38" i="11" s="1"/>
  <c r="AX37" i="11"/>
  <c r="BH37" i="11" s="1"/>
  <c r="BL23" i="11"/>
  <c r="BM23" i="11" s="1"/>
  <c r="AN45" i="11"/>
  <c r="BL14" i="11"/>
  <c r="BM14" i="11" s="1"/>
  <c r="AA45" i="11"/>
  <c r="BL36" i="11"/>
  <c r="BM36" i="11" s="1"/>
  <c r="AN64" i="11"/>
  <c r="R41" i="11"/>
  <c r="BL30" i="11"/>
  <c r="BM30" i="11" s="1"/>
  <c r="BL39" i="11" l="1"/>
  <c r="BM39" i="11" s="1"/>
  <c r="BL33" i="11"/>
  <c r="BM33" i="11" s="1"/>
  <c r="R43" i="11"/>
  <c r="BH41" i="11"/>
  <c r="AE45" i="11"/>
  <c r="AE64" i="11"/>
  <c r="AX45" i="11"/>
  <c r="AW64" i="11"/>
  <c r="BL41" i="11" l="1"/>
  <c r="BM41" i="11" s="1"/>
  <c r="R64" i="11"/>
  <c r="R45" i="11"/>
  <c r="BH45" i="11" s="1"/>
  <c r="BH43" i="11"/>
  <c r="BI41" i="11" s="1"/>
  <c r="R46" i="11" l="1"/>
  <c r="BL43" i="11"/>
  <c r="BM43" i="11" s="1"/>
  <c r="BI17" i="11"/>
  <c r="I46" i="11"/>
  <c r="BI11" i="11"/>
  <c r="AS46" i="11"/>
  <c r="N46" i="11"/>
  <c r="BI25" i="11"/>
  <c r="AI46" i="11"/>
  <c r="E46" i="11"/>
  <c r="BC46" i="11"/>
  <c r="AA46" i="11"/>
  <c r="BI30" i="11"/>
  <c r="BI19" i="11"/>
  <c r="BI23" i="11"/>
  <c r="BI14" i="11"/>
  <c r="BH64" i="11"/>
  <c r="BL64" i="11" s="1"/>
  <c r="BM64" i="11" s="1"/>
  <c r="AN46" i="11"/>
  <c r="BI36" i="11"/>
  <c r="W46" i="11"/>
  <c r="AW46" i="11"/>
  <c r="BI33" i="11"/>
  <c r="AE46" i="11"/>
  <c r="BI39" i="11"/>
</calcChain>
</file>

<file path=xl/sharedStrings.xml><?xml version="1.0" encoding="utf-8"?>
<sst xmlns="http://schemas.openxmlformats.org/spreadsheetml/2006/main" count="112" uniqueCount="91">
  <si>
    <t>BUDGET 2023 RÉEL</t>
  </si>
  <si>
    <t>p</t>
  </si>
  <si>
    <t>QUOTES</t>
  </si>
  <si>
    <t>LIQUIDATION</t>
  </si>
  <si>
    <t>RH</t>
  </si>
  <si>
    <t>EF</t>
  </si>
  <si>
    <t>CAMPAGNE</t>
  </si>
  <si>
    <t>QUOTES         + FITNESS        + ABRIS</t>
  </si>
  <si>
    <t>FITNESS
+QUOTES</t>
  </si>
  <si>
    <t>LIQUIDATION
+QUOTES
+RH</t>
  </si>
  <si>
    <t>KICKOFF</t>
  </si>
  <si>
    <t>CORE 1</t>
  </si>
  <si>
    <t>CORE 2</t>
  </si>
  <si>
    <t>LOCAL</t>
  </si>
  <si>
    <t>Évènement</t>
  </si>
  <si>
    <t>VENTE 1</t>
  </si>
  <si>
    <t>VENTE 2</t>
  </si>
  <si>
    <t>ÉvènementMEUBLES</t>
  </si>
  <si>
    <t>JACUZZI
EVENT</t>
  </si>
  <si>
    <t>V</t>
  </si>
  <si>
    <t>MEDIA</t>
  </si>
  <si>
    <t>NOVEMBRE</t>
  </si>
  <si>
    <t>DECEMBRE</t>
  </si>
  <si>
    <t>JANVIER</t>
  </si>
  <si>
    <t>FEVRIER</t>
  </si>
  <si>
    <t>MARS</t>
  </si>
  <si>
    <t>AVRIL</t>
  </si>
  <si>
    <t>MAI</t>
  </si>
  <si>
    <t>JUIN</t>
  </si>
  <si>
    <t>juillet</t>
  </si>
  <si>
    <t>JUILLET</t>
  </si>
  <si>
    <t>AOUT</t>
  </si>
  <si>
    <t>SEPTEMBRE</t>
  </si>
  <si>
    <t>OCTOBRE</t>
  </si>
  <si>
    <t>TOTAL 2023</t>
  </si>
  <si>
    <t>%</t>
  </si>
  <si>
    <t>TOTAL 2022</t>
  </si>
  <si>
    <t>Diff.</t>
  </si>
  <si>
    <t>VAR</t>
  </si>
  <si>
    <t>1-2-3 SEPT</t>
  </si>
  <si>
    <t>TRADITIONNEL</t>
  </si>
  <si>
    <t>RATIO</t>
  </si>
  <si>
    <t>TELEVISION</t>
  </si>
  <si>
    <t>FR</t>
  </si>
  <si>
    <t>EN</t>
  </si>
  <si>
    <t>RADIO</t>
  </si>
  <si>
    <t>PANNEAUX</t>
  </si>
  <si>
    <t>CIRCULAIRE PAPIER</t>
  </si>
  <si>
    <t>TOTAL TRADITIONNEL</t>
  </si>
  <si>
    <t>NUMÉRIQUE</t>
  </si>
  <si>
    <t>CIRCULAIRE DIGITAL</t>
  </si>
  <si>
    <t>LAPRESSE+</t>
  </si>
  <si>
    <t>GOOGLE</t>
  </si>
  <si>
    <t>ADWORDS</t>
  </si>
  <si>
    <t>Recherche de mots clés</t>
  </si>
  <si>
    <t>PREROLL</t>
  </si>
  <si>
    <t>Preroll - Youtube</t>
  </si>
  <si>
    <t>DISPLAY</t>
  </si>
  <si>
    <t>Bannières web</t>
  </si>
  <si>
    <t>SHOPPING</t>
  </si>
  <si>
    <t>Google Shopping</t>
  </si>
  <si>
    <t>PREROLL - PREMIUM</t>
  </si>
  <si>
    <t>ENG</t>
  </si>
  <si>
    <t>BANNIÈRES WEB - PREMIUM</t>
  </si>
  <si>
    <t>FACEBOOK</t>
  </si>
  <si>
    <t>Video ( Portée additionnelle )</t>
  </si>
  <si>
    <t>Performance ( Soumissions / achats )</t>
  </si>
  <si>
    <t>PINTEREST</t>
  </si>
  <si>
    <t>TIKTOK</t>
  </si>
  <si>
    <t>TOTAL NUMÉRIQUE</t>
  </si>
  <si>
    <t>TOTAL MÉDIA RÉEL</t>
  </si>
  <si>
    <t xml:space="preserve">TOTAL MEDIA PRÉVU </t>
  </si>
  <si>
    <t xml:space="preserve">DIFFÉRENCE </t>
  </si>
  <si>
    <t>% vs total</t>
  </si>
  <si>
    <t>COOP - FOURNISSEURS</t>
  </si>
  <si>
    <t>QUOTES MOVA</t>
  </si>
  <si>
    <t xml:space="preserve">BRAND HTH </t>
  </si>
  <si>
    <t>BROIL KING?</t>
  </si>
  <si>
    <t>JACUZZI</t>
  </si>
  <si>
    <t>RBF?</t>
  </si>
  <si>
    <t>SANIMARC?</t>
  </si>
  <si>
    <t>Production</t>
  </si>
  <si>
    <t>PRODUCTION VIDEO</t>
  </si>
  <si>
    <t>PRODUCTION RADIO</t>
  </si>
  <si>
    <t>PRODUCTION GRAPHIQUE &amp; PHOTO</t>
  </si>
  <si>
    <t>UDA TV</t>
  </si>
  <si>
    <t>UDA RADIO</t>
  </si>
  <si>
    <t>COPIES</t>
  </si>
  <si>
    <t>Honoraires</t>
  </si>
  <si>
    <t>TOTAL PRODUCTION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</si>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</sst>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.00&quot;$&quot;"/>
    <numFmt numFmtId="165" formatCode="#,##0.00\ [$$-C0C]"/>
    <numFmt numFmtId="166" formatCode="&quot;$&quot;#,##0.00"/>
    <numFmt numFmtId="167" formatCode="0.000%"/>
  </numFmts>
  <fonts count="26">
    <font>
      <sz val="10"/>
      <color rgb="FF000000"/>
      <name val="Arial"/>
      <scheme val="minor"/>
    </font>
    <font>
      <b/>
      <sz val="7"/>
      <color rgb="FFFFFFFF"/>
      <name val="Arial"/>
      <family val="2"/>
    </font>
    <font>
      <b/>
      <sz val="25"/>
      <color theme="1"/>
      <name val="Helvetica Neue"/>
      <family val="2"/>
    </font>
    <font>
      <b/>
      <sz val="10"/>
      <color theme="1"/>
      <name val="Helvetica Neue"/>
      <family val="2"/>
    </font>
    <font>
      <b/>
      <sz val="7"/>
      <color theme="1"/>
      <name val="Helvetica Neue"/>
      <family val="2"/>
    </font>
    <font>
      <sz val="10"/>
      <name val="Arial"/>
      <family val="2"/>
    </font>
    <font>
      <b/>
      <sz val="7"/>
      <color theme="1"/>
      <name val="Arial"/>
      <family val="2"/>
    </font>
    <font>
      <b/>
      <sz val="10"/>
      <color theme="1"/>
      <name val="Arial"/>
      <family val="2"/>
    </font>
    <font>
      <b/>
      <sz val="7"/>
      <color rgb="FFFFFFFF"/>
      <name val="Helvetica Neue"/>
      <family val="2"/>
    </font>
    <font>
      <sz val="10"/>
      <color theme="1"/>
      <name val="Arial"/>
      <family val="2"/>
      <scheme val="minor"/>
    </font>
    <font>
      <b/>
      <sz val="11"/>
      <color theme="1"/>
      <name val="Helvetica Neue"/>
      <family val="2"/>
    </font>
    <font>
      <sz val="10"/>
      <color theme="1"/>
      <name val="Helvetica Neue"/>
      <family val="2"/>
    </font>
    <font>
      <b/>
      <sz val="7"/>
      <color theme="1"/>
      <name val="Calibri"/>
      <family val="2"/>
    </font>
    <font>
      <b/>
      <sz val="14"/>
      <color rgb="FF1C4587"/>
      <name val="Helvetica Neue"/>
      <family val="2"/>
    </font>
    <font>
      <sz val="10"/>
      <color theme="1"/>
      <name val="Arial"/>
      <family val="2"/>
    </font>
    <font>
      <sz val="11"/>
      <color rgb="FF1C1E21"/>
      <name val="Roboto"/>
    </font>
    <font>
      <sz val="9"/>
      <color rgb="FFCCCCCC"/>
      <name val="Helvetica Neue"/>
      <family val="2"/>
    </font>
    <font>
      <sz val="8"/>
      <color rgb="FFCCCCCC"/>
      <name val="Helvetica Neue"/>
      <family val="2"/>
    </font>
    <font>
      <b/>
      <sz val="14"/>
      <color rgb="FF0C343D"/>
      <name val="Helvetica Neue"/>
      <family val="2"/>
    </font>
    <font>
      <b/>
      <sz val="10"/>
      <color rgb="FF0C343D"/>
      <name val="Helvetica Neue"/>
      <family val="2"/>
    </font>
    <font>
      <b/>
      <sz val="14"/>
      <color rgb="FF0C343D"/>
      <name val="Calibri"/>
      <family val="2"/>
    </font>
    <font>
      <b/>
      <sz val="14"/>
      <color rgb="FF1C4587"/>
      <name val="Arial"/>
      <family val="2"/>
      <scheme val="minor"/>
    </font>
    <font>
      <b/>
      <sz val="8"/>
      <color theme="1"/>
      <name val="Calibri"/>
      <family val="2"/>
    </font>
    <font>
      <b/>
      <sz val="8"/>
      <color rgb="FF999999"/>
      <name val="Calibri"/>
      <family val="2"/>
    </font>
    <font>
      <sz val="10"/>
      <color theme="0"/>
      <name val="Arial"/>
      <family val="2"/>
      <scheme val="minor"/>
    </font>
    <font>
      <b/>
      <sz val="14"/>
      <color rgb="FFFFFFFF"/>
      <name val="Helvetica Neue"/>
      <family val="2"/>
    </font>
  </fonts>
  <fills count="13">
    <fill>
      <patternFill patternType="none"/>
    </fill>
    <fill>
      <patternFill patternType="gray125"/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rgb="FF000000"/>
        <bgColor rgb="FF000000"/>
      </patternFill>
    </fill>
    <fill>
      <patternFill patternType="solid">
        <fgColor rgb="FFD1E5FF"/>
        <bgColor rgb="FFD1E5FF"/>
      </patternFill>
    </fill>
    <fill>
      <patternFill patternType="solid">
        <fgColor rgb="FFFF9900"/>
        <bgColor rgb="FFFF9900"/>
      </patternFill>
    </fill>
    <fill>
      <patternFill patternType="solid">
        <fgColor theme="9"/>
        <bgColor theme="9"/>
      </patternFill>
    </fill>
    <fill>
      <patternFill patternType="solid">
        <fgColor theme="6"/>
        <bgColor theme="6"/>
      </patternFill>
    </fill>
    <fill>
      <patternFill patternType="solid">
        <fgColor rgb="FFEA9999"/>
        <bgColor rgb="FFEA9999"/>
      </patternFill>
    </fill>
    <fill>
      <patternFill patternType="solid">
        <fgColor rgb="FFD5A6BD"/>
        <bgColor rgb="FFD5A6BD"/>
      </patternFill>
    </fill>
    <fill>
      <patternFill patternType="solid">
        <fgColor rgb="FF9FC5E8"/>
        <bgColor rgb="FF9FC5E8"/>
      </patternFill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</borders>
  <cellStyleXfs count="1">
    <xf numFmtId="0" fontId="0" fillId="0" borderId="0"/>
  </cellStyleXfs>
  <cellXfs count="102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0" borderId="0" xfId="0" applyFont="1"/>
    <xf numFmtId="0" fontId="1" fillId="0" borderId="4" xfId="0" applyFont="1" applyBorder="1"/>
    <xf numFmtId="0" fontId="3" fillId="0" borderId="4" xfId="0" applyFont="1" applyBorder="1" applyAlignment="1">
      <alignment horizontal="center" vertical="center"/>
    </xf>
    <xf numFmtId="0" fontId="8" fillId="2" borderId="8" xfId="0" applyFont="1" applyFill="1" applyBorder="1"/>
    <xf numFmtId="0" fontId="3" fillId="0" borderId="8" xfId="0" applyFont="1" applyBorder="1" applyAlignment="1">
      <alignment horizontal="center" vertical="center" wrapText="1"/>
    </xf>
    <xf numFmtId="0" fontId="8" fillId="2" borderId="0" xfId="0" applyFont="1" applyFill="1"/>
    <xf numFmtId="0" fontId="8" fillId="0" borderId="0" xfId="0" applyFont="1"/>
    <xf numFmtId="0" fontId="3" fillId="0" borderId="8" xfId="0" applyFont="1" applyBorder="1" applyAlignment="1">
      <alignment horizontal="center" vertical="center"/>
    </xf>
    <xf numFmtId="0" fontId="9" fillId="0" borderId="0" xfId="0" applyFont="1"/>
    <xf numFmtId="0" fontId="11" fillId="0" borderId="0" xfId="0" applyFont="1"/>
    <xf numFmtId="0" fontId="11" fillId="0" borderId="8" xfId="0" applyFont="1" applyBorder="1"/>
    <xf numFmtId="0" fontId="4" fillId="3" borderId="8" xfId="0" applyFont="1" applyFill="1" applyBorder="1" applyAlignment="1">
      <alignment horizontal="center"/>
    </xf>
    <xf numFmtId="0" fontId="12" fillId="3" borderId="0" xfId="0" applyFont="1" applyFill="1" applyAlignment="1">
      <alignment horizontal="center"/>
    </xf>
    <xf numFmtId="0" fontId="4" fillId="3" borderId="0" xfId="0" applyFont="1" applyFill="1" applyAlignment="1">
      <alignment horizontal="center"/>
    </xf>
    <xf numFmtId="164" fontId="13" fillId="0" borderId="0" xfId="0" applyNumberFormat="1" applyFont="1" applyAlignment="1">
      <alignment vertical="top"/>
    </xf>
    <xf numFmtId="164" fontId="13" fillId="0" borderId="6" xfId="0" applyNumberFormat="1" applyFont="1" applyBorder="1" applyAlignment="1">
      <alignment vertical="top"/>
    </xf>
    <xf numFmtId="164" fontId="13" fillId="0" borderId="7" xfId="0" applyNumberFormat="1" applyFont="1" applyBorder="1" applyAlignment="1">
      <alignment vertical="top"/>
    </xf>
    <xf numFmtId="164" fontId="14" fillId="0" borderId="0" xfId="0" applyNumberFormat="1" applyFont="1"/>
    <xf numFmtId="164" fontId="11" fillId="0" borderId="0" xfId="0" applyNumberFormat="1" applyFont="1"/>
    <xf numFmtId="164" fontId="13" fillId="0" borderId="4" xfId="0" applyNumberFormat="1" applyFont="1" applyBorder="1" applyAlignment="1">
      <alignment vertical="top"/>
    </xf>
    <xf numFmtId="164" fontId="13" fillId="0" borderId="10" xfId="0" applyNumberFormat="1" applyFont="1" applyBorder="1" applyAlignment="1">
      <alignment vertical="top"/>
    </xf>
    <xf numFmtId="0" fontId="10" fillId="3" borderId="0" xfId="0" applyFont="1" applyFill="1"/>
    <xf numFmtId="9" fontId="3" fillId="0" borderId="0" xfId="0" applyNumberFormat="1" applyFont="1"/>
    <xf numFmtId="165" fontId="9" fillId="0" borderId="0" xfId="0" applyNumberFormat="1" applyFont="1"/>
    <xf numFmtId="0" fontId="15" fillId="6" borderId="0" xfId="0" applyFont="1" applyFill="1" applyAlignment="1">
      <alignment horizontal="right"/>
    </xf>
    <xf numFmtId="0" fontId="10" fillId="3" borderId="8" xfId="0" applyFont="1" applyFill="1" applyBorder="1"/>
    <xf numFmtId="164" fontId="9" fillId="0" borderId="0" xfId="0" applyNumberFormat="1" applyFont="1"/>
    <xf numFmtId="164" fontId="3" fillId="0" borderId="8" xfId="0" applyNumberFormat="1" applyFont="1" applyBorder="1"/>
    <xf numFmtId="10" fontId="11" fillId="0" borderId="8" xfId="0" applyNumberFormat="1" applyFont="1" applyBorder="1"/>
    <xf numFmtId="9" fontId="3" fillId="0" borderId="8" xfId="0" applyNumberFormat="1" applyFont="1" applyBorder="1"/>
    <xf numFmtId="0" fontId="16" fillId="3" borderId="0" xfId="0" applyFont="1" applyFill="1"/>
    <xf numFmtId="0" fontId="17" fillId="3" borderId="8" xfId="0" applyFont="1" applyFill="1" applyBorder="1"/>
    <xf numFmtId="164" fontId="17" fillId="0" borderId="8" xfId="0" applyNumberFormat="1" applyFont="1" applyBorder="1" applyAlignment="1">
      <alignment horizontal="right"/>
    </xf>
    <xf numFmtId="164" fontId="17" fillId="0" borderId="8" xfId="0" applyNumberFormat="1" applyFont="1" applyBorder="1"/>
    <xf numFmtId="9" fontId="17" fillId="0" borderId="8" xfId="0" applyNumberFormat="1" applyFont="1" applyBorder="1"/>
    <xf numFmtId="9" fontId="17" fillId="0" borderId="0" xfId="0" applyNumberFormat="1" applyFont="1"/>
    <xf numFmtId="164" fontId="17" fillId="0" borderId="12" xfId="0" applyNumberFormat="1" applyFont="1" applyBorder="1" applyAlignment="1">
      <alignment horizontal="right"/>
    </xf>
    <xf numFmtId="0" fontId="10" fillId="0" borderId="0" xfId="0" applyFont="1"/>
    <xf numFmtId="0" fontId="10" fillId="0" borderId="8" xfId="0" applyFont="1" applyBorder="1"/>
    <xf numFmtId="0" fontId="18" fillId="3" borderId="0" xfId="0" applyFont="1" applyFill="1"/>
    <xf numFmtId="0" fontId="18" fillId="3" borderId="8" xfId="0" applyFont="1" applyFill="1" applyBorder="1"/>
    <xf numFmtId="164" fontId="19" fillId="0" borderId="8" xfId="0" applyNumberFormat="1" applyFont="1" applyBorder="1"/>
    <xf numFmtId="0" fontId="20" fillId="3" borderId="0" xfId="0" applyFont="1" applyFill="1"/>
    <xf numFmtId="0" fontId="21" fillId="0" borderId="0" xfId="0" applyFont="1"/>
    <xf numFmtId="0" fontId="22" fillId="3" borderId="0" xfId="0" applyFont="1" applyFill="1"/>
    <xf numFmtId="10" fontId="9" fillId="0" borderId="8" xfId="0" applyNumberFormat="1" applyFont="1" applyBorder="1"/>
    <xf numFmtId="0" fontId="22" fillId="0" borderId="0" xfId="0" applyFont="1"/>
    <xf numFmtId="0" fontId="23" fillId="3" borderId="0" xfId="0" applyFont="1" applyFill="1"/>
    <xf numFmtId="0" fontId="23" fillId="3" borderId="12" xfId="0" applyFont="1" applyFill="1" applyBorder="1"/>
    <xf numFmtId="0" fontId="10" fillId="3" borderId="12" xfId="0" applyFont="1" applyFill="1" applyBorder="1"/>
    <xf numFmtId="164" fontId="19" fillId="3" borderId="8" xfId="0" applyNumberFormat="1" applyFont="1" applyFill="1" applyBorder="1"/>
    <xf numFmtId="164" fontId="3" fillId="0" borderId="0" xfId="0" applyNumberFormat="1" applyFont="1"/>
    <xf numFmtId="0" fontId="14" fillId="0" borderId="0" xfId="0" applyFont="1"/>
    <xf numFmtId="10" fontId="9" fillId="0" borderId="0" xfId="0" applyNumberFormat="1" applyFont="1"/>
    <xf numFmtId="165" fontId="3" fillId="0" borderId="8" xfId="0" applyNumberFormat="1" applyFont="1" applyBorder="1"/>
    <xf numFmtId="166" fontId="11" fillId="0" borderId="3" xfId="0" applyNumberFormat="1" applyFont="1" applyBorder="1" applyAlignment="1">
      <alignment horizontal="right"/>
    </xf>
    <xf numFmtId="166" fontId="14" fillId="0" borderId="11" xfId="0" applyNumberFormat="1" applyFont="1" applyBorder="1"/>
    <xf numFmtId="164" fontId="3" fillId="0" borderId="3" xfId="0" applyNumberFormat="1" applyFont="1" applyBorder="1" applyAlignment="1">
      <alignment horizontal="right"/>
    </xf>
    <xf numFmtId="164" fontId="3" fillId="5" borderId="3" xfId="0" applyNumberFormat="1" applyFont="1" applyFill="1" applyBorder="1" applyAlignment="1">
      <alignment horizontal="right"/>
    </xf>
    <xf numFmtId="0" fontId="19" fillId="3" borderId="0" xfId="0" applyFont="1" applyFill="1"/>
    <xf numFmtId="164" fontId="9" fillId="0" borderId="8" xfId="0" applyNumberFormat="1" applyFont="1" applyBorder="1"/>
    <xf numFmtId="0" fontId="7" fillId="4" borderId="0" xfId="0" applyFont="1" applyFill="1"/>
    <xf numFmtId="166" fontId="9" fillId="0" borderId="0" xfId="0" applyNumberFormat="1" applyFont="1"/>
    <xf numFmtId="166" fontId="11" fillId="0" borderId="2" xfId="0" applyNumberFormat="1" applyFont="1" applyBorder="1" applyAlignment="1">
      <alignment horizontal="right"/>
    </xf>
    <xf numFmtId="165" fontId="3" fillId="0" borderId="2" xfId="0" applyNumberFormat="1" applyFont="1" applyBorder="1" applyAlignment="1">
      <alignment horizontal="right"/>
    </xf>
    <xf numFmtId="164" fontId="25" fillId="7" borderId="13" xfId="0" applyNumberFormat="1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9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166" fontId="11" fillId="0" borderId="1" xfId="0" applyNumberFormat="1" applyFont="1" applyBorder="1" applyAlignment="1">
      <alignment horizontal="right"/>
    </xf>
    <xf numFmtId="0" fontId="9" fillId="8" borderId="1" xfId="0" applyFont="1" applyFill="1" applyBorder="1" applyAlignment="1">
      <alignment horizontal="center"/>
    </xf>
    <xf numFmtId="0" fontId="9" fillId="9" borderId="1" xfId="0" applyFont="1" applyFill="1" applyBorder="1" applyAlignment="1">
      <alignment horizontal="center"/>
    </xf>
    <xf numFmtId="0" fontId="9" fillId="10" borderId="1" xfId="0" applyFont="1" applyFill="1" applyBorder="1" applyAlignment="1">
      <alignment horizontal="center"/>
    </xf>
    <xf numFmtId="0" fontId="24" fillId="2" borderId="1" xfId="0" applyFont="1" applyFill="1" applyBorder="1" applyAlignment="1">
      <alignment horizontal="center"/>
    </xf>
    <xf numFmtId="167" fontId="11" fillId="0" borderId="2" xfId="0" applyNumberFormat="1" applyFont="1" applyBorder="1" applyAlignment="1">
      <alignment horizontal="right"/>
    </xf>
    <xf numFmtId="167" fontId="11" fillId="0" borderId="2" xfId="0" applyNumberFormat="1" applyFont="1" applyBorder="1" applyAlignment="1">
      <alignment horizontal="center"/>
    </xf>
    <xf numFmtId="164" fontId="13" fillId="0" borderId="5" xfId="0" applyNumberFormat="1" applyFont="1" applyBorder="1" applyAlignment="1">
      <alignment vertical="top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/>
    </xf>
    <xf numFmtId="164" fontId="17" fillId="0" borderId="9" xfId="0" applyNumberFormat="1" applyFont="1" applyBorder="1" applyAlignment="1">
      <alignment horizontal="right"/>
    </xf>
    <xf numFmtId="164" fontId="17" fillId="0" borderId="1" xfId="0" applyNumberFormat="1" applyFont="1" applyBorder="1" applyAlignment="1">
      <alignment horizontal="right"/>
    </xf>
    <xf numFmtId="0" fontId="0" fillId="0" borderId="0" xfId="0" applyAlignment="1"/>
    <xf numFmtId="0" fontId="5" fillId="0" borderId="2" xfId="0" applyFont="1" applyBorder="1" applyAlignment="1"/>
    <xf numFmtId="0" fontId="5" fillId="0" borderId="3" xfId="0" applyFont="1" applyBorder="1" applyAlignment="1"/>
    <xf numFmtId="0" fontId="5" fillId="0" borderId="4" xfId="0" applyFont="1" applyBorder="1" applyAlignment="1"/>
    <xf numFmtId="0" fontId="5" fillId="0" borderId="10" xfId="0" applyFont="1" applyBorder="1" applyAlignment="1"/>
    <xf numFmtId="0" fontId="5" fillId="0" borderId="9" xfId="0" applyFont="1" applyBorder="1" applyAlignment="1"/>
    <xf numFmtId="164" fontId="11" fillId="0" borderId="1" xfId="0" applyNumberFormat="1" applyFont="1" applyBorder="1" applyAlignment="1"/>
    <xf numFmtId="164" fontId="11" fillId="0" borderId="8" xfId="0" applyNumberFormat="1" applyFont="1" applyBorder="1"/>
    <xf numFmtId="164" fontId="17" fillId="0" borderId="1" xfId="0" applyNumberFormat="1" applyFont="1" applyBorder="1" applyAlignment="1"/>
    <xf numFmtId="164" fontId="19" fillId="3" borderId="1" xfId="0" applyNumberFormat="1" applyFont="1" applyFill="1" applyBorder="1" applyAlignment="1"/>
    <xf numFmtId="164" fontId="19" fillId="0" borderId="1" xfId="0" applyNumberFormat="1" applyFont="1" applyBorder="1" applyAlignment="1"/>
    <xf numFmtId="0" fontId="5" fillId="0" borderId="12" xfId="0" applyFont="1" applyBorder="1" applyAlignment="1"/>
    <xf numFmtId="165" fontId="9" fillId="0" borderId="0" xfId="0" applyNumberFormat="1" applyFont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6AA84F"/>
    <outlinePr summaryBelow="0" summaryRight="0"/>
    <pageSetUpPr fitToPage="1"/>
  </sheetPr>
  <dimension ref="A1:BN154"/>
  <sheetViews>
    <sheetView tabSelected="1" workbookViewId="0">
      <pane xSplit="4" ySplit="8" topLeftCell="E9" activePane="bottomRight" state="frozen"/>
      <selection pane="bottomRight" activeCell="I45" sqref="I45:M45"/>
      <selection pane="bottomLeft" activeCell="A9" sqref="A9"/>
      <selection pane="topRight" activeCell="E1" sqref="E1"/>
    </sheetView>
  </sheetViews>
  <sheetFormatPr defaultColWidth="12.7109375" defaultRowHeight="15.75" customHeight="1"/>
  <cols>
    <col min="1" max="2" width="9" hidden="1" customWidth="1"/>
    <col min="3" max="3" width="4" customWidth="1"/>
    <col min="4" max="4" width="36.140625" customWidth="1"/>
    <col min="5" max="39" width="3" customWidth="1"/>
    <col min="40" max="40" width="10.28515625" customWidth="1"/>
    <col min="41" max="48" width="3" customWidth="1"/>
    <col min="49" max="49" width="9.7109375" customWidth="1"/>
    <col min="50" max="58" width="3" customWidth="1"/>
    <col min="59" max="59" width="3.28515625" customWidth="1"/>
    <col min="60" max="60" width="12.7109375" customWidth="1"/>
    <col min="61" max="61" width="7" customWidth="1"/>
    <col min="62" max="62" width="2.7109375" customWidth="1"/>
    <col min="63" max="63" width="13.28515625" customWidth="1"/>
    <col min="64" max="64" width="14.85546875" customWidth="1"/>
    <col min="65" max="66" width="7.28515625" customWidth="1"/>
  </cols>
  <sheetData>
    <row r="1" spans="1:66" ht="12.95">
      <c r="A1" s="1"/>
      <c r="B1" s="1"/>
      <c r="C1" s="1"/>
      <c r="D1" s="1"/>
      <c r="E1" s="83" t="s">
        <v>0</v>
      </c>
      <c r="F1" s="89"/>
      <c r="G1" s="89"/>
      <c r="H1" s="89"/>
      <c r="I1" s="89"/>
      <c r="J1" s="89"/>
      <c r="K1" s="89"/>
      <c r="L1" s="89"/>
      <c r="M1" s="89"/>
      <c r="N1" s="89"/>
      <c r="O1" s="89"/>
      <c r="P1" s="89"/>
      <c r="Q1" s="89"/>
      <c r="R1" s="89"/>
      <c r="S1" s="89"/>
      <c r="T1" s="89"/>
      <c r="U1" s="89"/>
      <c r="V1" s="89"/>
      <c r="W1" s="89"/>
      <c r="X1" s="89"/>
      <c r="Y1" s="89"/>
      <c r="Z1" s="89"/>
      <c r="AA1" s="89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</row>
    <row r="2" spans="1:66" ht="12.95">
      <c r="A2" s="1"/>
      <c r="B2" s="1"/>
      <c r="C2" s="1"/>
      <c r="D2" s="1"/>
      <c r="E2" s="89"/>
      <c r="F2" s="89"/>
      <c r="G2" s="89"/>
      <c r="H2" s="89"/>
      <c r="I2" s="89"/>
      <c r="J2" s="89"/>
      <c r="K2" s="89"/>
      <c r="L2" s="89"/>
      <c r="M2" s="89"/>
      <c r="N2" s="89"/>
      <c r="O2" s="89"/>
      <c r="P2" s="89"/>
      <c r="Q2" s="89"/>
      <c r="R2" s="89"/>
      <c r="S2" s="89"/>
      <c r="T2" s="89"/>
      <c r="U2" s="89"/>
      <c r="V2" s="89"/>
      <c r="W2" s="89"/>
      <c r="X2" s="89"/>
      <c r="Y2" s="89"/>
      <c r="Z2" s="89"/>
      <c r="AA2" s="89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</row>
    <row r="3" spans="1:66" ht="12.95">
      <c r="A3" s="1" t="s">
        <v>1</v>
      </c>
      <c r="B3" s="1"/>
      <c r="C3" s="1">
        <v>2</v>
      </c>
      <c r="D3" s="1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3"/>
      <c r="T3" s="3"/>
      <c r="U3" s="3"/>
      <c r="W3" s="2"/>
      <c r="X3" s="2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</row>
    <row r="4" spans="1:66" ht="12.95">
      <c r="A4" s="1"/>
      <c r="B4" s="1"/>
      <c r="C4" s="1"/>
      <c r="D4" s="1"/>
      <c r="E4" s="81" t="s">
        <v>2</v>
      </c>
      <c r="F4" s="90"/>
      <c r="G4" s="90"/>
      <c r="H4" s="90"/>
      <c r="I4" s="90"/>
      <c r="J4" s="90"/>
      <c r="K4" s="90"/>
      <c r="L4" s="90"/>
      <c r="M4" s="90"/>
      <c r="N4" s="90"/>
      <c r="O4" s="90"/>
      <c r="P4" s="90"/>
      <c r="Q4" s="90"/>
      <c r="R4" s="90"/>
      <c r="S4" s="90"/>
      <c r="T4" s="90"/>
      <c r="U4" s="90"/>
      <c r="V4" s="90"/>
      <c r="W4" s="90"/>
      <c r="X4" s="9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4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</row>
    <row r="5" spans="1:66" ht="16.5" customHeight="1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5"/>
      <c r="R5" s="6"/>
      <c r="S5" s="84" t="s">
        <v>3</v>
      </c>
      <c r="T5" s="90"/>
      <c r="U5" s="91"/>
      <c r="V5" s="84" t="s">
        <v>4</v>
      </c>
      <c r="W5" s="90"/>
      <c r="X5" s="9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65" t="s">
        <v>5</v>
      </c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</row>
    <row r="6" spans="1:66" ht="48.75" customHeight="1">
      <c r="A6" s="1"/>
      <c r="B6" s="1"/>
      <c r="C6" s="1"/>
      <c r="D6" s="7" t="s">
        <v>6</v>
      </c>
      <c r="E6" s="85" t="s">
        <v>7</v>
      </c>
      <c r="F6" s="90"/>
      <c r="G6" s="90"/>
      <c r="H6" s="91"/>
      <c r="I6" s="81" t="s">
        <v>2</v>
      </c>
      <c r="J6" s="90"/>
      <c r="K6" s="90"/>
      <c r="L6" s="90"/>
      <c r="M6" s="91"/>
      <c r="N6" s="81" t="s">
        <v>8</v>
      </c>
      <c r="O6" s="90"/>
      <c r="P6" s="90"/>
      <c r="Q6" s="91"/>
      <c r="R6" s="86" t="s">
        <v>9</v>
      </c>
      <c r="S6" s="92"/>
      <c r="T6" s="92"/>
      <c r="U6" s="92"/>
      <c r="V6" s="93"/>
      <c r="W6" s="81" t="s">
        <v>10</v>
      </c>
      <c r="X6" s="90"/>
      <c r="Y6" s="90"/>
      <c r="Z6" s="91"/>
      <c r="AA6" s="81" t="s">
        <v>11</v>
      </c>
      <c r="AB6" s="90"/>
      <c r="AC6" s="90"/>
      <c r="AD6" s="91"/>
      <c r="AE6" s="81" t="s">
        <v>12</v>
      </c>
      <c r="AF6" s="90"/>
      <c r="AG6" s="90"/>
      <c r="AH6" s="91"/>
      <c r="AI6" s="81" t="s">
        <v>13</v>
      </c>
      <c r="AJ6" s="90"/>
      <c r="AK6" s="90"/>
      <c r="AL6" s="90"/>
      <c r="AM6" s="91"/>
      <c r="AN6" s="8" t="s">
        <v>14</v>
      </c>
      <c r="AO6" s="81" t="s">
        <v>15</v>
      </c>
      <c r="AP6" s="90"/>
      <c r="AQ6" s="90"/>
      <c r="AR6" s="91"/>
      <c r="AS6" s="81" t="s">
        <v>16</v>
      </c>
      <c r="AT6" s="90"/>
      <c r="AU6" s="90"/>
      <c r="AV6" s="91"/>
      <c r="AW6" s="8" t="s">
        <v>17</v>
      </c>
      <c r="AX6" s="81" t="s">
        <v>18</v>
      </c>
      <c r="AY6" s="90"/>
      <c r="AZ6" s="90"/>
      <c r="BA6" s="90"/>
      <c r="BB6" s="91"/>
      <c r="BC6" s="81" t="s">
        <v>2</v>
      </c>
      <c r="BD6" s="90"/>
      <c r="BE6" s="90"/>
      <c r="BF6" s="91"/>
      <c r="BG6" s="1"/>
      <c r="BH6" s="1"/>
      <c r="BI6" s="1"/>
      <c r="BJ6" s="1"/>
      <c r="BK6" s="1"/>
      <c r="BL6" s="1" t="s">
        <v>19</v>
      </c>
      <c r="BM6" s="1"/>
      <c r="BN6" s="1"/>
    </row>
    <row r="7" spans="1:66" ht="12.95">
      <c r="A7" s="9"/>
      <c r="B7" s="10"/>
      <c r="C7" s="10"/>
      <c r="D7" s="7" t="s">
        <v>20</v>
      </c>
      <c r="E7" s="81" t="s">
        <v>21</v>
      </c>
      <c r="F7" s="90"/>
      <c r="G7" s="90"/>
      <c r="H7" s="91"/>
      <c r="I7" s="81" t="s">
        <v>22</v>
      </c>
      <c r="J7" s="90"/>
      <c r="K7" s="90"/>
      <c r="L7" s="90"/>
      <c r="M7" s="91"/>
      <c r="N7" s="81" t="s">
        <v>23</v>
      </c>
      <c r="O7" s="90"/>
      <c r="P7" s="90"/>
      <c r="Q7" s="91"/>
      <c r="R7" s="81" t="s">
        <v>24</v>
      </c>
      <c r="S7" s="90"/>
      <c r="T7" s="90"/>
      <c r="U7" s="90"/>
      <c r="V7" s="91"/>
      <c r="W7" s="81" t="s">
        <v>25</v>
      </c>
      <c r="X7" s="90"/>
      <c r="Y7" s="90"/>
      <c r="Z7" s="91"/>
      <c r="AA7" s="81" t="s">
        <v>26</v>
      </c>
      <c r="AB7" s="90"/>
      <c r="AC7" s="90"/>
      <c r="AD7" s="91"/>
      <c r="AE7" s="81" t="s">
        <v>27</v>
      </c>
      <c r="AF7" s="90"/>
      <c r="AG7" s="90"/>
      <c r="AH7" s="91"/>
      <c r="AI7" s="81" t="s">
        <v>28</v>
      </c>
      <c r="AJ7" s="90"/>
      <c r="AK7" s="90"/>
      <c r="AL7" s="90"/>
      <c r="AM7" s="91"/>
      <c r="AN7" s="11" t="s">
        <v>29</v>
      </c>
      <c r="AO7" s="81" t="s">
        <v>30</v>
      </c>
      <c r="AP7" s="90"/>
      <c r="AQ7" s="90"/>
      <c r="AR7" s="91"/>
      <c r="AS7" s="81" t="s">
        <v>31</v>
      </c>
      <c r="AT7" s="90"/>
      <c r="AU7" s="90"/>
      <c r="AV7" s="91"/>
      <c r="AW7" s="11"/>
      <c r="AX7" s="81" t="s">
        <v>32</v>
      </c>
      <c r="AY7" s="90"/>
      <c r="AZ7" s="90"/>
      <c r="BA7" s="90"/>
      <c r="BB7" s="91"/>
      <c r="BC7" s="82" t="s">
        <v>33</v>
      </c>
      <c r="BD7" s="90"/>
      <c r="BE7" s="90"/>
      <c r="BF7" s="91"/>
      <c r="BG7" s="12"/>
      <c r="BH7" s="11" t="s">
        <v>34</v>
      </c>
      <c r="BI7" s="11" t="s">
        <v>35</v>
      </c>
      <c r="BK7" s="11" t="s">
        <v>36</v>
      </c>
      <c r="BL7" s="11" t="s">
        <v>37</v>
      </c>
      <c r="BM7" s="11" t="s">
        <v>38</v>
      </c>
      <c r="BN7" s="2"/>
    </row>
    <row r="8" spans="1:66" ht="12.95">
      <c r="A8" s="13"/>
      <c r="B8" s="13"/>
      <c r="C8" s="13"/>
      <c r="D8" s="14"/>
      <c r="E8" s="15">
        <v>30</v>
      </c>
      <c r="F8" s="15">
        <v>6</v>
      </c>
      <c r="G8" s="15">
        <v>13</v>
      </c>
      <c r="H8" s="15">
        <v>20</v>
      </c>
      <c r="I8" s="15">
        <v>27</v>
      </c>
      <c r="J8" s="15">
        <v>4</v>
      </c>
      <c r="K8" s="15">
        <v>11</v>
      </c>
      <c r="L8" s="15">
        <v>18</v>
      </c>
      <c r="M8" s="15">
        <v>25</v>
      </c>
      <c r="N8" s="15">
        <v>1</v>
      </c>
      <c r="O8" s="15">
        <v>8</v>
      </c>
      <c r="P8" s="15">
        <v>15</v>
      </c>
      <c r="Q8" s="15">
        <v>22</v>
      </c>
      <c r="R8" s="15">
        <v>29</v>
      </c>
      <c r="S8" s="15">
        <v>5</v>
      </c>
      <c r="T8" s="15">
        <v>12</v>
      </c>
      <c r="U8" s="15">
        <v>19</v>
      </c>
      <c r="V8" s="15">
        <v>26</v>
      </c>
      <c r="W8" s="15">
        <v>5</v>
      </c>
      <c r="X8" s="15">
        <v>12</v>
      </c>
      <c r="Y8" s="15">
        <v>19</v>
      </c>
      <c r="Z8" s="15">
        <v>26</v>
      </c>
      <c r="AA8" s="15">
        <v>2</v>
      </c>
      <c r="AB8" s="15">
        <v>9</v>
      </c>
      <c r="AC8" s="15">
        <v>16</v>
      </c>
      <c r="AD8" s="15">
        <v>23</v>
      </c>
      <c r="AE8" s="15">
        <v>30</v>
      </c>
      <c r="AF8" s="15">
        <v>7</v>
      </c>
      <c r="AG8" s="15">
        <v>14</v>
      </c>
      <c r="AH8" s="15">
        <v>21</v>
      </c>
      <c r="AI8" s="15">
        <v>28</v>
      </c>
      <c r="AJ8" s="15">
        <v>4</v>
      </c>
      <c r="AK8" s="15">
        <v>11</v>
      </c>
      <c r="AL8" s="15">
        <v>18</v>
      </c>
      <c r="AM8" s="15">
        <v>25</v>
      </c>
      <c r="AN8" s="15">
        <v>2</v>
      </c>
      <c r="AO8" s="15"/>
      <c r="AP8" s="15">
        <v>9</v>
      </c>
      <c r="AQ8" s="15">
        <v>16</v>
      </c>
      <c r="AR8" s="15">
        <v>23</v>
      </c>
      <c r="AS8" s="15">
        <v>30</v>
      </c>
      <c r="AT8" s="15">
        <v>6</v>
      </c>
      <c r="AU8" s="15">
        <v>13</v>
      </c>
      <c r="AV8" s="15">
        <v>20</v>
      </c>
      <c r="AW8" s="11" t="s">
        <v>39</v>
      </c>
      <c r="AX8" s="15">
        <v>27</v>
      </c>
      <c r="AY8" s="15">
        <v>3</v>
      </c>
      <c r="AZ8" s="15">
        <v>10</v>
      </c>
      <c r="BA8" s="15">
        <v>17</v>
      </c>
      <c r="BB8" s="15">
        <v>24</v>
      </c>
      <c r="BC8" s="15">
        <v>1</v>
      </c>
      <c r="BD8" s="15">
        <v>8</v>
      </c>
      <c r="BE8" s="15">
        <v>15</v>
      </c>
      <c r="BF8" s="15">
        <v>22</v>
      </c>
      <c r="BG8" s="16"/>
      <c r="BH8" s="17"/>
      <c r="BI8" s="17"/>
      <c r="BK8" s="17"/>
      <c r="BL8" s="17"/>
      <c r="BM8" s="17"/>
      <c r="BN8" s="17"/>
    </row>
    <row r="9" spans="1:66" ht="18">
      <c r="A9" s="18"/>
      <c r="B9" s="18"/>
      <c r="C9" s="18"/>
      <c r="D9" s="80" t="s">
        <v>40</v>
      </c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0"/>
      <c r="BG9" s="21"/>
      <c r="BH9" s="22"/>
      <c r="BI9" s="22"/>
      <c r="BK9" s="22"/>
      <c r="BL9" s="22"/>
      <c r="BM9" s="22"/>
      <c r="BN9" s="22"/>
    </row>
    <row r="10" spans="1:66" ht="18">
      <c r="A10" s="18"/>
      <c r="B10" s="18"/>
      <c r="C10" s="18"/>
      <c r="D10" s="94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  <c r="AC10" s="23"/>
      <c r="AD10" s="23"/>
      <c r="AE10" s="23"/>
      <c r="AF10" s="23"/>
      <c r="AG10" s="23"/>
      <c r="AH10" s="23"/>
      <c r="AI10" s="23"/>
      <c r="AJ10" s="23"/>
      <c r="AK10" s="23"/>
      <c r="AL10" s="23"/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/>
      <c r="AX10" s="23"/>
      <c r="AY10" s="23"/>
      <c r="AZ10" s="23"/>
      <c r="BA10" s="23"/>
      <c r="BB10" s="23"/>
      <c r="BC10" s="23"/>
      <c r="BD10" s="23"/>
      <c r="BE10" s="23"/>
      <c r="BF10" s="24"/>
      <c r="BG10" s="21"/>
      <c r="BH10" s="22"/>
      <c r="BI10" s="22"/>
      <c r="BK10" s="22"/>
      <c r="BL10" s="22"/>
      <c r="BM10" s="22"/>
      <c r="BN10" s="22"/>
    </row>
    <row r="11" spans="1:66" ht="14.1">
      <c r="A11" s="25" t="s">
        <v>41</v>
      </c>
      <c r="B11" s="25"/>
      <c r="C11" s="25"/>
      <c r="D11" s="29" t="s">
        <v>42</v>
      </c>
      <c r="E11" s="95">
        <v>0</v>
      </c>
      <c r="F11" s="90"/>
      <c r="G11" s="90"/>
      <c r="H11" s="91"/>
      <c r="I11" s="95">
        <v>0</v>
      </c>
      <c r="J11" s="90"/>
      <c r="K11" s="90"/>
      <c r="L11" s="90"/>
      <c r="M11" s="91"/>
      <c r="N11" s="95">
        <v>0</v>
      </c>
      <c r="O11" s="90"/>
      <c r="P11" s="90"/>
      <c r="Q11" s="91"/>
      <c r="R11" s="95">
        <v>147871.54</v>
      </c>
      <c r="S11" s="90"/>
      <c r="T11" s="90"/>
      <c r="U11" s="90"/>
      <c r="V11" s="91"/>
      <c r="W11" s="95">
        <f>88092.5+2300.4+711.86+26066.9+8066.38+2739.3+1622.5+2265.36+3235+5551.7+25098.7+6776.02+1310.1+5487.9+209.97+143.19+484.31+489.94+2214.96+115.62+597.98+199.92+285.49</f>
        <v>184066.00000000003</v>
      </c>
      <c r="X11" s="90"/>
      <c r="Y11" s="90"/>
      <c r="Z11" s="91"/>
      <c r="AA11" s="95">
        <f>429557.94-W11+88092.5+35000</f>
        <v>368584.43999999994</v>
      </c>
      <c r="AB11" s="90"/>
      <c r="AC11" s="90"/>
      <c r="AD11" s="91"/>
      <c r="AE11" s="95">
        <f>478459.53-35000</f>
        <v>443459.53</v>
      </c>
      <c r="AF11" s="90"/>
      <c r="AG11" s="90"/>
      <c r="AH11" s="91"/>
      <c r="AI11" s="95">
        <v>79674.52</v>
      </c>
      <c r="AJ11" s="90"/>
      <c r="AK11" s="90"/>
      <c r="AL11" s="90"/>
      <c r="AM11" s="91"/>
      <c r="AN11" s="96">
        <v>0</v>
      </c>
      <c r="AO11" s="95">
        <v>173507.95</v>
      </c>
      <c r="AP11" s="90"/>
      <c r="AQ11" s="90"/>
      <c r="AR11" s="91"/>
      <c r="AS11" s="95">
        <v>0</v>
      </c>
      <c r="AT11" s="90"/>
      <c r="AU11" s="90"/>
      <c r="AV11" s="91"/>
      <c r="AW11" s="96">
        <v>0</v>
      </c>
      <c r="AX11" s="95">
        <v>106728.78</v>
      </c>
      <c r="AY11" s="90"/>
      <c r="AZ11" s="90"/>
      <c r="BA11" s="90"/>
      <c r="BB11" s="91"/>
      <c r="BC11" s="95">
        <f>5473.9+59584.58</f>
        <v>65058.48</v>
      </c>
      <c r="BD11" s="90"/>
      <c r="BE11" s="90"/>
      <c r="BF11" s="91"/>
      <c r="BG11" s="30"/>
      <c r="BH11" s="31">
        <f t="shared" ref="BH11:BH19" si="0">SUM(E11:BF11)</f>
        <v>1568951.24</v>
      </c>
      <c r="BI11" s="32">
        <f>BH11/BH43</f>
        <v>0.410992139610945</v>
      </c>
      <c r="BK11" s="31">
        <v>1435000</v>
      </c>
      <c r="BL11" s="31">
        <f t="shared" ref="BL11:BL19" si="1">BH11-BK11</f>
        <v>133951.24</v>
      </c>
      <c r="BM11" s="33">
        <f t="shared" ref="BM11:BM19" si="2">BL11/BK11</f>
        <v>9.3345811846689886E-2</v>
      </c>
      <c r="BN11" s="26"/>
    </row>
    <row r="12" spans="1:66" ht="12.95" hidden="1">
      <c r="A12" s="34" t="s">
        <v>43</v>
      </c>
      <c r="B12" s="34">
        <v>0.9</v>
      </c>
      <c r="C12" s="34"/>
      <c r="D12" s="35" t="s">
        <v>43</v>
      </c>
      <c r="E12" s="97">
        <f t="shared" ref="E12:E13" si="3">E$11*$B12</f>
        <v>0</v>
      </c>
      <c r="F12" s="90"/>
      <c r="G12" s="90"/>
      <c r="H12" s="91"/>
      <c r="I12" s="97">
        <f t="shared" ref="I12:I13" si="4">I$11*$B12</f>
        <v>0</v>
      </c>
      <c r="J12" s="90"/>
      <c r="K12" s="90"/>
      <c r="L12" s="90"/>
      <c r="M12" s="91"/>
      <c r="N12" s="88">
        <f t="shared" ref="N12:N13" si="5">N$11*$B12</f>
        <v>0</v>
      </c>
      <c r="O12" s="90"/>
      <c r="P12" s="90"/>
      <c r="Q12" s="91"/>
      <c r="R12" s="97">
        <f t="shared" ref="R12:R13" si="6">R$11*$B12</f>
        <v>133084.386</v>
      </c>
      <c r="S12" s="90"/>
      <c r="T12" s="90"/>
      <c r="U12" s="90"/>
      <c r="V12" s="91"/>
      <c r="W12" s="88">
        <f t="shared" ref="W12:W13" si="7">W$11*$B12</f>
        <v>165659.40000000002</v>
      </c>
      <c r="X12" s="90"/>
      <c r="Y12" s="90"/>
      <c r="Z12" s="91"/>
      <c r="AA12" s="88">
        <f t="shared" ref="AA12:AA13" si="8">AA$11*$B12</f>
        <v>331725.99599999998</v>
      </c>
      <c r="AB12" s="90"/>
      <c r="AC12" s="90"/>
      <c r="AD12" s="91"/>
      <c r="AE12" s="88">
        <f t="shared" ref="AE12:AE13" si="9">AE$11*$B12</f>
        <v>399113.57700000005</v>
      </c>
      <c r="AF12" s="90"/>
      <c r="AG12" s="90"/>
      <c r="AH12" s="91"/>
      <c r="AI12" s="97">
        <f t="shared" ref="AI12:AI13" si="10">AI$11*$B12</f>
        <v>71707.067999999999</v>
      </c>
      <c r="AJ12" s="90"/>
      <c r="AK12" s="90"/>
      <c r="AL12" s="90"/>
      <c r="AM12" s="91"/>
      <c r="AN12" s="36">
        <v>0</v>
      </c>
      <c r="AO12" s="88">
        <f t="shared" ref="AO12:AO13" si="11">AO$11*$B12</f>
        <v>156157.15500000003</v>
      </c>
      <c r="AP12" s="90"/>
      <c r="AQ12" s="90"/>
      <c r="AR12" s="91"/>
      <c r="AS12" s="88">
        <f t="shared" ref="AS12:AS13" si="12">AS$11*$B12</f>
        <v>0</v>
      </c>
      <c r="AT12" s="90"/>
      <c r="AU12" s="90"/>
      <c r="AV12" s="91"/>
      <c r="AW12" s="36"/>
      <c r="AX12" s="97">
        <f t="shared" ref="AX12:AX13" si="13">AX$11*$B12</f>
        <v>96055.902000000002</v>
      </c>
      <c r="AY12" s="90"/>
      <c r="AZ12" s="90"/>
      <c r="BA12" s="90"/>
      <c r="BB12" s="91"/>
      <c r="BC12" s="88">
        <f t="shared" ref="BC12:BC13" si="14">BC$11*$B12</f>
        <v>58552.632000000005</v>
      </c>
      <c r="BD12" s="90"/>
      <c r="BE12" s="90"/>
      <c r="BF12" s="91"/>
      <c r="BG12" s="12"/>
      <c r="BH12" s="37">
        <f t="shared" si="0"/>
        <v>1412056.1160000002</v>
      </c>
      <c r="BI12" s="32"/>
      <c r="BK12" s="37">
        <v>1299000</v>
      </c>
      <c r="BL12" s="37">
        <f t="shared" si="1"/>
        <v>113056.11600000015</v>
      </c>
      <c r="BM12" s="38">
        <f t="shared" si="2"/>
        <v>8.7033191685912364E-2</v>
      </c>
      <c r="BN12" s="39"/>
    </row>
    <row r="13" spans="1:66" ht="12.95" hidden="1">
      <c r="A13" s="34" t="s">
        <v>44</v>
      </c>
      <c r="B13" s="34">
        <v>0.1</v>
      </c>
      <c r="C13" s="34"/>
      <c r="D13" s="35" t="s">
        <v>44</v>
      </c>
      <c r="E13" s="97">
        <f t="shared" si="3"/>
        <v>0</v>
      </c>
      <c r="F13" s="90"/>
      <c r="G13" s="90"/>
      <c r="H13" s="91"/>
      <c r="I13" s="97">
        <f t="shared" si="4"/>
        <v>0</v>
      </c>
      <c r="J13" s="90"/>
      <c r="K13" s="90"/>
      <c r="L13" s="90"/>
      <c r="M13" s="91"/>
      <c r="N13" s="87">
        <f t="shared" si="5"/>
        <v>0</v>
      </c>
      <c r="O13" s="92"/>
      <c r="P13" s="92"/>
      <c r="Q13" s="93"/>
      <c r="R13" s="97">
        <f t="shared" si="6"/>
        <v>14787.154000000002</v>
      </c>
      <c r="S13" s="90"/>
      <c r="T13" s="90"/>
      <c r="U13" s="90"/>
      <c r="V13" s="91"/>
      <c r="W13" s="87">
        <f t="shared" si="7"/>
        <v>18406.600000000002</v>
      </c>
      <c r="X13" s="92"/>
      <c r="Y13" s="92"/>
      <c r="Z13" s="93"/>
      <c r="AA13" s="87">
        <f t="shared" si="8"/>
        <v>36858.443999999996</v>
      </c>
      <c r="AB13" s="92"/>
      <c r="AC13" s="92"/>
      <c r="AD13" s="93"/>
      <c r="AE13" s="87">
        <f t="shared" si="9"/>
        <v>44345.953000000009</v>
      </c>
      <c r="AF13" s="92"/>
      <c r="AG13" s="92"/>
      <c r="AH13" s="93"/>
      <c r="AI13" s="97">
        <f t="shared" si="10"/>
        <v>7967.4520000000011</v>
      </c>
      <c r="AJ13" s="90"/>
      <c r="AK13" s="90"/>
      <c r="AL13" s="90"/>
      <c r="AM13" s="91"/>
      <c r="AN13" s="40">
        <v>0</v>
      </c>
      <c r="AO13" s="87">
        <f t="shared" si="11"/>
        <v>17350.795000000002</v>
      </c>
      <c r="AP13" s="92"/>
      <c r="AQ13" s="92"/>
      <c r="AR13" s="93"/>
      <c r="AS13" s="87">
        <f t="shared" si="12"/>
        <v>0</v>
      </c>
      <c r="AT13" s="92"/>
      <c r="AU13" s="92"/>
      <c r="AV13" s="93"/>
      <c r="AW13" s="40"/>
      <c r="AX13" s="97">
        <f t="shared" si="13"/>
        <v>10672.878000000001</v>
      </c>
      <c r="AY13" s="90"/>
      <c r="AZ13" s="90"/>
      <c r="BA13" s="90"/>
      <c r="BB13" s="91"/>
      <c r="BC13" s="87">
        <f t="shared" si="14"/>
        <v>6505.8480000000009</v>
      </c>
      <c r="BD13" s="92"/>
      <c r="BE13" s="92"/>
      <c r="BF13" s="93"/>
      <c r="BG13" s="12"/>
      <c r="BH13" s="37">
        <f t="shared" si="0"/>
        <v>156895.12400000001</v>
      </c>
      <c r="BI13" s="32"/>
      <c r="BK13" s="37">
        <v>136000</v>
      </c>
      <c r="BL13" s="37">
        <f t="shared" si="1"/>
        <v>20895.124000000011</v>
      </c>
      <c r="BM13" s="38">
        <f t="shared" si="2"/>
        <v>0.15364061764705891</v>
      </c>
      <c r="BN13" s="39"/>
    </row>
    <row r="14" spans="1:66" ht="14.1">
      <c r="A14" s="25"/>
      <c r="B14" s="25"/>
      <c r="C14" s="25"/>
      <c r="D14" s="29" t="s">
        <v>45</v>
      </c>
      <c r="E14" s="95">
        <v>0</v>
      </c>
      <c r="F14" s="90"/>
      <c r="G14" s="90"/>
      <c r="H14" s="91"/>
      <c r="I14" s="95">
        <v>0</v>
      </c>
      <c r="J14" s="90"/>
      <c r="K14" s="90"/>
      <c r="L14" s="90"/>
      <c r="M14" s="91"/>
      <c r="N14" s="95">
        <v>35741.300000000003</v>
      </c>
      <c r="O14" s="90"/>
      <c r="P14" s="90"/>
      <c r="Q14" s="91"/>
      <c r="R14" s="95">
        <v>75676.92</v>
      </c>
      <c r="S14" s="90"/>
      <c r="T14" s="90"/>
      <c r="U14" s="90"/>
      <c r="V14" s="91"/>
      <c r="W14" s="95">
        <v>0</v>
      </c>
      <c r="X14" s="90"/>
      <c r="Y14" s="90"/>
      <c r="Z14" s="91"/>
      <c r="AA14" s="95">
        <v>125868.33</v>
      </c>
      <c r="AB14" s="90"/>
      <c r="AC14" s="90"/>
      <c r="AD14" s="91"/>
      <c r="AE14" s="95">
        <v>115048.13</v>
      </c>
      <c r="AF14" s="90"/>
      <c r="AG14" s="90"/>
      <c r="AH14" s="91"/>
      <c r="AI14" s="95">
        <v>142555.71</v>
      </c>
      <c r="AJ14" s="90"/>
      <c r="AK14" s="90"/>
      <c r="AL14" s="90"/>
      <c r="AM14" s="91"/>
      <c r="AN14" s="96">
        <f>10897+1200+1067.56+2787.01+3292.12+5329.5+1300+585.05+588.3+2196.09+2677.5+236.29+4789.39+583.3+5720.5+1250+615.15+5691.5+502.27+5765+545.1+3548+1652.16+720+193.91+376.65+10916.25+963.36+2080+183.56+2008+177.21+4685+413.45+7300+644.23</f>
        <v>93480.41</v>
      </c>
      <c r="AO14" s="95">
        <f>193048.55-AN14</f>
        <v>99568.139999999985</v>
      </c>
      <c r="AP14" s="90"/>
      <c r="AQ14" s="90"/>
      <c r="AR14" s="91"/>
      <c r="AS14" s="95">
        <v>87924</v>
      </c>
      <c r="AT14" s="90"/>
      <c r="AU14" s="90"/>
      <c r="AV14" s="91"/>
      <c r="AW14" s="96">
        <v>58061.16</v>
      </c>
      <c r="AX14" s="95">
        <v>0</v>
      </c>
      <c r="AY14" s="90"/>
      <c r="AZ14" s="90"/>
      <c r="BA14" s="90"/>
      <c r="BB14" s="91"/>
      <c r="BC14" s="95">
        <f>735.66+572.69</f>
        <v>1308.3499999999999</v>
      </c>
      <c r="BD14" s="90"/>
      <c r="BE14" s="90"/>
      <c r="BF14" s="91"/>
      <c r="BG14" s="30"/>
      <c r="BH14" s="31">
        <f t="shared" si="0"/>
        <v>835232.45000000007</v>
      </c>
      <c r="BI14" s="32">
        <f>BH14/BH43</f>
        <v>0.21879199489844672</v>
      </c>
      <c r="BK14" s="31">
        <v>685000</v>
      </c>
      <c r="BL14" s="31">
        <f t="shared" si="1"/>
        <v>150232.45000000007</v>
      </c>
      <c r="BM14" s="33">
        <f t="shared" si="2"/>
        <v>0.21931744525547456</v>
      </c>
      <c r="BN14" s="26"/>
    </row>
    <row r="15" spans="1:66" ht="12.95" hidden="1">
      <c r="A15" s="34" t="s">
        <v>43</v>
      </c>
      <c r="B15" s="34">
        <v>0.9</v>
      </c>
      <c r="C15" s="34"/>
      <c r="D15" s="35" t="s">
        <v>43</v>
      </c>
      <c r="E15" s="97">
        <f>E$14*$B$15</f>
        <v>0</v>
      </c>
      <c r="F15" s="90"/>
      <c r="G15" s="90"/>
      <c r="H15" s="91"/>
      <c r="I15" s="97">
        <f>I$14*$B$15</f>
        <v>0</v>
      </c>
      <c r="J15" s="90"/>
      <c r="K15" s="90"/>
      <c r="L15" s="90"/>
      <c r="M15" s="91"/>
      <c r="N15" s="97">
        <f>N$14*$B$15</f>
        <v>32167.170000000002</v>
      </c>
      <c r="O15" s="90"/>
      <c r="P15" s="90"/>
      <c r="Q15" s="91"/>
      <c r="R15" s="97">
        <f>R$14*$B$15</f>
        <v>68109.228000000003</v>
      </c>
      <c r="S15" s="90"/>
      <c r="T15" s="90"/>
      <c r="U15" s="90"/>
      <c r="V15" s="91"/>
      <c r="W15" s="97">
        <f>W$14*$B$15</f>
        <v>0</v>
      </c>
      <c r="X15" s="90"/>
      <c r="Y15" s="90"/>
      <c r="Z15" s="91"/>
      <c r="AA15" s="97">
        <f>AA$14*$B$15</f>
        <v>113281.497</v>
      </c>
      <c r="AB15" s="90"/>
      <c r="AC15" s="90"/>
      <c r="AD15" s="91"/>
      <c r="AE15" s="97">
        <f>AE$14*$B$15</f>
        <v>103543.31700000001</v>
      </c>
      <c r="AF15" s="90"/>
      <c r="AG15" s="90"/>
      <c r="AH15" s="91"/>
      <c r="AI15" s="97">
        <f>AI$14*$B$15</f>
        <v>128300.139</v>
      </c>
      <c r="AJ15" s="90"/>
      <c r="AK15" s="90"/>
      <c r="AL15" s="90"/>
      <c r="AM15" s="91"/>
      <c r="AN15" s="37"/>
      <c r="AO15" s="97">
        <f>AO$14*$B$15</f>
        <v>89611.325999999986</v>
      </c>
      <c r="AP15" s="90"/>
      <c r="AQ15" s="90"/>
      <c r="AR15" s="91"/>
      <c r="AS15" s="97">
        <f>AS$14*$B$15</f>
        <v>79131.600000000006</v>
      </c>
      <c r="AT15" s="90"/>
      <c r="AU15" s="90"/>
      <c r="AV15" s="91"/>
      <c r="AW15" s="37"/>
      <c r="AX15" s="97">
        <f>AX$14*$B$15</f>
        <v>0</v>
      </c>
      <c r="AY15" s="90"/>
      <c r="AZ15" s="90"/>
      <c r="BA15" s="90"/>
      <c r="BB15" s="91"/>
      <c r="BC15" s="97">
        <f>BC$14*$B$15</f>
        <v>1177.5149999999999</v>
      </c>
      <c r="BD15" s="90"/>
      <c r="BE15" s="90"/>
      <c r="BF15" s="91"/>
      <c r="BG15" s="12"/>
      <c r="BH15" s="37">
        <f t="shared" si="0"/>
        <v>615321.79200000002</v>
      </c>
      <c r="BI15" s="32"/>
      <c r="BK15" s="37">
        <v>602800</v>
      </c>
      <c r="BL15" s="37">
        <f t="shared" si="1"/>
        <v>12521.792000000016</v>
      </c>
      <c r="BM15" s="38">
        <f t="shared" si="2"/>
        <v>2.0772714001327165E-2</v>
      </c>
      <c r="BN15" s="39"/>
    </row>
    <row r="16" spans="1:66" ht="12.95" hidden="1">
      <c r="A16" s="34" t="s">
        <v>44</v>
      </c>
      <c r="B16" s="34">
        <v>0.1</v>
      </c>
      <c r="C16" s="34"/>
      <c r="D16" s="35" t="s">
        <v>44</v>
      </c>
      <c r="E16" s="97">
        <f>E$14*$B$16</f>
        <v>0</v>
      </c>
      <c r="F16" s="90"/>
      <c r="G16" s="90"/>
      <c r="H16" s="91"/>
      <c r="I16" s="97">
        <f>I$14*$B$16</f>
        <v>0</v>
      </c>
      <c r="J16" s="90"/>
      <c r="K16" s="90"/>
      <c r="L16" s="90"/>
      <c r="M16" s="91"/>
      <c r="N16" s="97">
        <f>N$14*$B$16</f>
        <v>3574.1300000000006</v>
      </c>
      <c r="O16" s="90"/>
      <c r="P16" s="90"/>
      <c r="Q16" s="91"/>
      <c r="R16" s="97">
        <f>R$14*$B$16</f>
        <v>7567.692</v>
      </c>
      <c r="S16" s="90"/>
      <c r="T16" s="90"/>
      <c r="U16" s="90"/>
      <c r="V16" s="91"/>
      <c r="W16" s="97">
        <f>W$14*$B$16</f>
        <v>0</v>
      </c>
      <c r="X16" s="90"/>
      <c r="Y16" s="90"/>
      <c r="Z16" s="91"/>
      <c r="AA16" s="97">
        <f>AA$14*$B$16</f>
        <v>12586.833000000001</v>
      </c>
      <c r="AB16" s="90"/>
      <c r="AC16" s="90"/>
      <c r="AD16" s="91"/>
      <c r="AE16" s="97">
        <f>AE$14*$B$16</f>
        <v>11504.813000000002</v>
      </c>
      <c r="AF16" s="90"/>
      <c r="AG16" s="90"/>
      <c r="AH16" s="91"/>
      <c r="AI16" s="97">
        <f>AI$14*$B$16</f>
        <v>14255.571</v>
      </c>
      <c r="AJ16" s="90"/>
      <c r="AK16" s="90"/>
      <c r="AL16" s="90"/>
      <c r="AM16" s="91"/>
      <c r="AN16" s="37"/>
      <c r="AO16" s="97">
        <f>AO$14*$B$16</f>
        <v>9956.8139999999985</v>
      </c>
      <c r="AP16" s="90"/>
      <c r="AQ16" s="90"/>
      <c r="AR16" s="91"/>
      <c r="AS16" s="97">
        <f>AS$14*$B$16</f>
        <v>8792.4</v>
      </c>
      <c r="AT16" s="90"/>
      <c r="AU16" s="90"/>
      <c r="AV16" s="91"/>
      <c r="AW16" s="37"/>
      <c r="AX16" s="97">
        <f>AX$14*$B$16</f>
        <v>0</v>
      </c>
      <c r="AY16" s="90"/>
      <c r="AZ16" s="90"/>
      <c r="BA16" s="90"/>
      <c r="BB16" s="91"/>
      <c r="BC16" s="97">
        <f>BC$14*$B$16</f>
        <v>130.83500000000001</v>
      </c>
      <c r="BD16" s="90"/>
      <c r="BE16" s="90"/>
      <c r="BF16" s="91"/>
      <c r="BG16" s="12"/>
      <c r="BH16" s="37">
        <f t="shared" si="0"/>
        <v>68369.088000000003</v>
      </c>
      <c r="BI16" s="32"/>
      <c r="BK16" s="37">
        <v>82200</v>
      </c>
      <c r="BL16" s="37">
        <f t="shared" si="1"/>
        <v>-13830.911999999997</v>
      </c>
      <c r="BM16" s="38">
        <f t="shared" si="2"/>
        <v>-0.16825927007299266</v>
      </c>
      <c r="BN16" s="39"/>
    </row>
    <row r="17" spans="1:66" ht="14.1">
      <c r="A17" s="41"/>
      <c r="B17" s="41"/>
      <c r="C17" s="41"/>
      <c r="D17" s="42" t="s">
        <v>46</v>
      </c>
      <c r="E17" s="95">
        <v>0</v>
      </c>
      <c r="F17" s="90"/>
      <c r="G17" s="90"/>
      <c r="H17" s="91"/>
      <c r="I17" s="95">
        <v>0</v>
      </c>
      <c r="J17" s="90"/>
      <c r="K17" s="90"/>
      <c r="L17" s="90"/>
      <c r="M17" s="91"/>
      <c r="N17" s="95">
        <v>0</v>
      </c>
      <c r="O17" s="90"/>
      <c r="P17" s="90"/>
      <c r="Q17" s="91"/>
      <c r="R17" s="95">
        <v>0</v>
      </c>
      <c r="S17" s="90"/>
      <c r="T17" s="90"/>
      <c r="U17" s="90"/>
      <c r="V17" s="91"/>
      <c r="W17" s="95">
        <v>0</v>
      </c>
      <c r="X17" s="90"/>
      <c r="Y17" s="90"/>
      <c r="Z17" s="91"/>
      <c r="AA17" s="95">
        <v>0</v>
      </c>
      <c r="AB17" s="90"/>
      <c r="AC17" s="90"/>
      <c r="AD17" s="91"/>
      <c r="AE17" s="95">
        <v>22921.62</v>
      </c>
      <c r="AF17" s="90"/>
      <c r="AG17" s="90"/>
      <c r="AH17" s="91"/>
      <c r="AI17" s="95">
        <v>4089.83</v>
      </c>
      <c r="AJ17" s="90"/>
      <c r="AK17" s="90"/>
      <c r="AL17" s="90"/>
      <c r="AM17" s="91"/>
      <c r="AN17" s="96">
        <v>0</v>
      </c>
      <c r="AO17" s="95">
        <f>78150.45</f>
        <v>78150.45</v>
      </c>
      <c r="AP17" s="90"/>
      <c r="AQ17" s="90"/>
      <c r="AR17" s="91"/>
      <c r="AS17" s="95">
        <v>8549.34</v>
      </c>
      <c r="AT17" s="90"/>
      <c r="AU17" s="90"/>
      <c r="AV17" s="91"/>
      <c r="AW17" s="96">
        <v>0</v>
      </c>
      <c r="AX17" s="95">
        <v>0</v>
      </c>
      <c r="AY17" s="90"/>
      <c r="AZ17" s="90"/>
      <c r="BA17" s="90"/>
      <c r="BB17" s="91"/>
      <c r="BC17" s="95">
        <v>0</v>
      </c>
      <c r="BD17" s="90"/>
      <c r="BE17" s="90"/>
      <c r="BF17" s="91"/>
      <c r="BG17" s="30"/>
      <c r="BH17" s="31">
        <f t="shared" si="0"/>
        <v>113711.23999999999</v>
      </c>
      <c r="BI17" s="32">
        <f t="shared" ref="BI17:BI18" si="15">BH17/BH43</f>
        <v>2.9787047955303996E-2</v>
      </c>
      <c r="BK17" s="31">
        <v>90000</v>
      </c>
      <c r="BL17" s="31">
        <f t="shared" si="1"/>
        <v>23711.239999999991</v>
      </c>
      <c r="BM17" s="33">
        <f t="shared" si="2"/>
        <v>0.26345822222222209</v>
      </c>
      <c r="BN17" s="26"/>
    </row>
    <row r="18" spans="1:66" ht="14.1">
      <c r="A18" s="41"/>
      <c r="B18" s="41"/>
      <c r="C18" s="41"/>
      <c r="D18" s="42" t="s">
        <v>47</v>
      </c>
      <c r="E18" s="95">
        <v>0</v>
      </c>
      <c r="F18" s="90"/>
      <c r="G18" s="90"/>
      <c r="H18" s="91"/>
      <c r="I18" s="95">
        <v>0</v>
      </c>
      <c r="J18" s="90"/>
      <c r="K18" s="90"/>
      <c r="L18" s="90"/>
      <c r="M18" s="91"/>
      <c r="N18" s="95">
        <v>0</v>
      </c>
      <c r="O18" s="90"/>
      <c r="P18" s="90"/>
      <c r="Q18" s="91"/>
      <c r="R18" s="95">
        <v>0</v>
      </c>
      <c r="S18" s="90"/>
      <c r="T18" s="90"/>
      <c r="U18" s="90"/>
      <c r="V18" s="91"/>
      <c r="W18" s="95">
        <v>0</v>
      </c>
      <c r="X18" s="90"/>
      <c r="Y18" s="90"/>
      <c r="Z18" s="91"/>
      <c r="AA18" s="95">
        <v>0</v>
      </c>
      <c r="AB18" s="90"/>
      <c r="AC18" s="90"/>
      <c r="AD18" s="91"/>
      <c r="AE18" s="95">
        <v>0</v>
      </c>
      <c r="AF18" s="90"/>
      <c r="AG18" s="90"/>
      <c r="AH18" s="91"/>
      <c r="AI18" s="95">
        <v>0</v>
      </c>
      <c r="AJ18" s="90"/>
      <c r="AK18" s="90"/>
      <c r="AL18" s="90"/>
      <c r="AM18" s="91"/>
      <c r="AN18" s="96">
        <v>0</v>
      </c>
      <c r="AO18" s="95">
        <v>0</v>
      </c>
      <c r="AP18" s="90"/>
      <c r="AQ18" s="90"/>
      <c r="AR18" s="91"/>
      <c r="AS18" s="95">
        <v>0</v>
      </c>
      <c r="AT18" s="90"/>
      <c r="AU18" s="90"/>
      <c r="AV18" s="91"/>
      <c r="AW18" s="96">
        <v>0</v>
      </c>
      <c r="AX18" s="95">
        <v>0</v>
      </c>
      <c r="AY18" s="90"/>
      <c r="AZ18" s="90"/>
      <c r="BA18" s="90"/>
      <c r="BB18" s="91"/>
      <c r="BC18" s="95">
        <v>0</v>
      </c>
      <c r="BD18" s="90"/>
      <c r="BE18" s="90"/>
      <c r="BF18" s="91"/>
      <c r="BG18" s="30"/>
      <c r="BH18" s="31">
        <f t="shared" si="0"/>
        <v>0</v>
      </c>
      <c r="BI18" s="32">
        <f t="shared" si="15"/>
        <v>0</v>
      </c>
      <c r="BK18" s="31">
        <v>330000</v>
      </c>
      <c r="BL18" s="31">
        <f t="shared" si="1"/>
        <v>-330000</v>
      </c>
      <c r="BM18" s="33">
        <f t="shared" si="2"/>
        <v>-1</v>
      </c>
      <c r="BN18" s="26"/>
    </row>
    <row r="19" spans="1:66" ht="32.25" customHeight="1">
      <c r="A19" s="43"/>
      <c r="B19" s="43"/>
      <c r="C19" s="43"/>
      <c r="D19" s="44" t="s">
        <v>48</v>
      </c>
      <c r="E19" s="98">
        <f>E18+E17+E14+E11</f>
        <v>0</v>
      </c>
      <c r="F19" s="90"/>
      <c r="G19" s="90"/>
      <c r="H19" s="91"/>
      <c r="I19" s="99">
        <f>I18+I17+I14+I11</f>
        <v>0</v>
      </c>
      <c r="J19" s="90"/>
      <c r="K19" s="90"/>
      <c r="L19" s="90"/>
      <c r="M19" s="91"/>
      <c r="N19" s="99">
        <f>N18+N17+N14+N11</f>
        <v>35741.300000000003</v>
      </c>
      <c r="O19" s="90"/>
      <c r="P19" s="90"/>
      <c r="Q19" s="91"/>
      <c r="R19" s="99">
        <f>R18+R17+R14+R11</f>
        <v>223548.46000000002</v>
      </c>
      <c r="S19" s="90"/>
      <c r="T19" s="90"/>
      <c r="U19" s="90"/>
      <c r="V19" s="91"/>
      <c r="W19" s="99">
        <f>W18+W17+W14+W11</f>
        <v>184066.00000000003</v>
      </c>
      <c r="X19" s="90"/>
      <c r="Y19" s="90"/>
      <c r="Z19" s="91"/>
      <c r="AA19" s="99">
        <f>AA18+AA17+AA14+AA11</f>
        <v>494452.76999999996</v>
      </c>
      <c r="AB19" s="90"/>
      <c r="AC19" s="90"/>
      <c r="AD19" s="91"/>
      <c r="AE19" s="99">
        <f>AE18+AE17+AE14+AE11</f>
        <v>581429.28</v>
      </c>
      <c r="AF19" s="90"/>
      <c r="AG19" s="90"/>
      <c r="AH19" s="91"/>
      <c r="AI19" s="99">
        <f>AI18+AI17+AI14+AI11</f>
        <v>226320.06</v>
      </c>
      <c r="AJ19" s="90"/>
      <c r="AK19" s="90"/>
      <c r="AL19" s="90"/>
      <c r="AM19" s="91"/>
      <c r="AN19" s="45">
        <f t="shared" ref="AN19:AO19" si="16">AN18+AN17+AN14+AN11</f>
        <v>93480.41</v>
      </c>
      <c r="AO19" s="99">
        <f t="shared" si="16"/>
        <v>351226.54</v>
      </c>
      <c r="AP19" s="90"/>
      <c r="AQ19" s="90"/>
      <c r="AR19" s="91"/>
      <c r="AS19" s="99">
        <f>AS18+AS17+AS14+AS11</f>
        <v>96473.34</v>
      </c>
      <c r="AT19" s="90"/>
      <c r="AU19" s="90"/>
      <c r="AV19" s="91"/>
      <c r="AW19" s="45">
        <f t="shared" ref="AW19:AX19" si="17">AW18+AW17+AW14+AW11</f>
        <v>58061.16</v>
      </c>
      <c r="AX19" s="99">
        <f t="shared" si="17"/>
        <v>106728.78</v>
      </c>
      <c r="AY19" s="90"/>
      <c r="AZ19" s="90"/>
      <c r="BA19" s="90"/>
      <c r="BB19" s="91"/>
      <c r="BC19" s="99">
        <f>BC18+BC17+BC14+BC11</f>
        <v>66366.83</v>
      </c>
      <c r="BD19" s="90"/>
      <c r="BE19" s="90"/>
      <c r="BF19" s="91"/>
      <c r="BG19" s="30"/>
      <c r="BH19" s="31">
        <f t="shared" si="0"/>
        <v>2517894.9299999997</v>
      </c>
      <c r="BI19" s="32">
        <f>BH19/BH43</f>
        <v>0.65957118246469559</v>
      </c>
      <c r="BK19" s="31">
        <v>2510000</v>
      </c>
      <c r="BL19" s="31">
        <f t="shared" si="1"/>
        <v>7894.929999999702</v>
      </c>
      <c r="BM19" s="33">
        <f t="shared" si="2"/>
        <v>3.1453904382468933E-3</v>
      </c>
      <c r="BN19" s="26"/>
    </row>
    <row r="20" spans="1:66" ht="35.25" customHeight="1">
      <c r="A20" s="46"/>
      <c r="B20" s="46"/>
      <c r="C20" s="46"/>
      <c r="D20" s="46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30"/>
      <c r="Z20" s="30"/>
      <c r="AA20" s="30"/>
      <c r="AB20" s="30"/>
      <c r="AC20" s="30"/>
      <c r="AD20" s="30"/>
      <c r="AE20" s="30"/>
      <c r="AF20" s="30"/>
      <c r="AG20" s="30"/>
      <c r="AH20" s="30"/>
      <c r="AI20" s="30"/>
      <c r="AJ20" s="30"/>
      <c r="AK20" s="30"/>
      <c r="AL20" s="30"/>
      <c r="AM20" s="30"/>
      <c r="AN20" s="30"/>
      <c r="AO20" s="30"/>
      <c r="AP20" s="30"/>
      <c r="AQ20" s="30"/>
      <c r="AR20" s="30"/>
      <c r="AS20" s="30"/>
      <c r="AT20" s="30"/>
      <c r="AU20" s="30"/>
      <c r="AV20" s="30"/>
      <c r="AW20" s="30"/>
      <c r="AX20" s="30"/>
      <c r="AY20" s="30"/>
      <c r="AZ20" s="30"/>
      <c r="BA20" s="30"/>
      <c r="BB20" s="30"/>
      <c r="BC20" s="30"/>
      <c r="BD20" s="30"/>
      <c r="BE20" s="30"/>
      <c r="BF20" s="30"/>
      <c r="BG20" s="30"/>
      <c r="BH20" s="30"/>
      <c r="BI20" s="30"/>
      <c r="BJ20" s="30"/>
      <c r="BK20" s="30"/>
      <c r="BL20" s="30"/>
      <c r="BM20" s="30"/>
      <c r="BN20" s="30"/>
    </row>
    <row r="21" spans="1:66" ht="18">
      <c r="A21" s="47"/>
      <c r="B21" s="47"/>
      <c r="C21" s="47"/>
      <c r="D21" s="80" t="s">
        <v>49</v>
      </c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19"/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0"/>
      <c r="BG21" s="12"/>
      <c r="BH21" s="12"/>
      <c r="BI21" s="12"/>
      <c r="BJ21" s="12"/>
      <c r="BK21" s="12"/>
      <c r="BL21" s="12"/>
      <c r="BM21" s="12"/>
      <c r="BN21" s="12"/>
    </row>
    <row r="22" spans="1:66" ht="18">
      <c r="A22" s="47"/>
      <c r="B22" s="47"/>
      <c r="C22" s="47"/>
      <c r="D22" s="94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  <c r="AE22" s="23"/>
      <c r="AF22" s="23"/>
      <c r="AG22" s="23"/>
      <c r="AH22" s="23"/>
      <c r="AI22" s="23"/>
      <c r="AJ22" s="23"/>
      <c r="AK22" s="23"/>
      <c r="AL22" s="23"/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/>
      <c r="AX22" s="23"/>
      <c r="AY22" s="23"/>
      <c r="AZ22" s="23"/>
      <c r="BA22" s="23"/>
      <c r="BB22" s="23"/>
      <c r="BC22" s="23"/>
      <c r="BD22" s="23"/>
      <c r="BE22" s="23"/>
      <c r="BF22" s="24"/>
      <c r="BG22" s="12"/>
      <c r="BH22" s="12"/>
      <c r="BI22" s="12"/>
      <c r="BJ22" s="12"/>
      <c r="BK22" s="12"/>
      <c r="BL22" s="12"/>
      <c r="BM22" s="12"/>
      <c r="BN22" s="12"/>
    </row>
    <row r="23" spans="1:66" ht="14.1">
      <c r="A23" s="48"/>
      <c r="B23" s="48"/>
      <c r="C23" s="48"/>
      <c r="D23" s="29" t="s">
        <v>50</v>
      </c>
      <c r="E23" s="95">
        <v>0</v>
      </c>
      <c r="F23" s="90"/>
      <c r="G23" s="90"/>
      <c r="H23" s="91"/>
      <c r="I23" s="95">
        <f>5441.25+5000.8+441.32</f>
        <v>10883.369999999999</v>
      </c>
      <c r="J23" s="90"/>
      <c r="K23" s="90"/>
      <c r="L23" s="90"/>
      <c r="M23" s="91"/>
      <c r="N23" s="95">
        <f>5005.95</f>
        <v>5005.95</v>
      </c>
      <c r="O23" s="90"/>
      <c r="P23" s="90"/>
      <c r="Q23" s="91"/>
      <c r="R23" s="95">
        <f>5005.95+4600+405.95</f>
        <v>10011.900000000001</v>
      </c>
      <c r="S23" s="90"/>
      <c r="T23" s="90"/>
      <c r="U23" s="90"/>
      <c r="V23" s="91"/>
      <c r="W23" s="95">
        <v>0</v>
      </c>
      <c r="X23" s="90"/>
      <c r="Y23" s="90"/>
      <c r="Z23" s="91"/>
      <c r="AA23" s="95">
        <f>13749.86+8207.78+1213.43+724.34</f>
        <v>23895.41</v>
      </c>
      <c r="AB23" s="90"/>
      <c r="AC23" s="90"/>
      <c r="AD23" s="91"/>
      <c r="AE23" s="95">
        <v>26945.78</v>
      </c>
      <c r="AF23" s="90"/>
      <c r="AG23" s="90"/>
      <c r="AH23" s="91"/>
      <c r="AI23" s="95">
        <v>21406.95</v>
      </c>
      <c r="AJ23" s="90"/>
      <c r="AK23" s="90"/>
      <c r="AL23" s="90"/>
      <c r="AM23" s="91"/>
      <c r="AN23" s="96">
        <v>0</v>
      </c>
      <c r="AO23" s="95">
        <f>1095.88+3343.44+9074.42+5168.79+456.15</f>
        <v>19138.68</v>
      </c>
      <c r="AP23" s="90"/>
      <c r="AQ23" s="90"/>
      <c r="AR23" s="91"/>
      <c r="AS23" s="95">
        <f>17308.58+1527.48</f>
        <v>18836.060000000001</v>
      </c>
      <c r="AT23" s="90"/>
      <c r="AU23" s="90"/>
      <c r="AV23" s="91"/>
      <c r="AW23" s="96">
        <v>0</v>
      </c>
      <c r="AX23" s="95">
        <v>0</v>
      </c>
      <c r="AY23" s="90"/>
      <c r="AZ23" s="90"/>
      <c r="BA23" s="90"/>
      <c r="BB23" s="91"/>
      <c r="BC23" s="95">
        <v>0</v>
      </c>
      <c r="BD23" s="90"/>
      <c r="BE23" s="90"/>
      <c r="BF23" s="91"/>
      <c r="BG23" s="30"/>
      <c r="BH23" s="31">
        <f t="shared" ref="BH23:BH41" si="18">SUM(E23:BF23)</f>
        <v>136124.1</v>
      </c>
      <c r="BI23" s="49">
        <f>BH23/BH43</f>
        <v>3.5658173233996893E-2</v>
      </c>
      <c r="BK23" s="31">
        <v>135000</v>
      </c>
      <c r="BL23" s="31">
        <f t="shared" ref="BL23:BL30" si="19">BH23-BK23</f>
        <v>1124.1000000000058</v>
      </c>
      <c r="BM23" s="33">
        <f t="shared" ref="BM23:BM30" si="20">BL23/BK23</f>
        <v>8.3266666666667096E-3</v>
      </c>
      <c r="BN23" s="26"/>
    </row>
    <row r="24" spans="1:66" ht="14.1">
      <c r="A24" s="50"/>
      <c r="B24" s="50"/>
      <c r="C24" s="50"/>
      <c r="D24" s="29" t="s">
        <v>51</v>
      </c>
      <c r="E24" s="95">
        <v>11980</v>
      </c>
      <c r="F24" s="90"/>
      <c r="G24" s="90"/>
      <c r="H24" s="91"/>
      <c r="I24" s="95">
        <v>0</v>
      </c>
      <c r="J24" s="90"/>
      <c r="K24" s="90"/>
      <c r="L24" s="90"/>
      <c r="M24" s="91"/>
      <c r="N24" s="95">
        <v>0</v>
      </c>
      <c r="O24" s="90"/>
      <c r="P24" s="90"/>
      <c r="Q24" s="91"/>
      <c r="R24" s="95">
        <v>0</v>
      </c>
      <c r="S24" s="90"/>
      <c r="T24" s="90"/>
      <c r="U24" s="90"/>
      <c r="V24" s="91"/>
      <c r="W24" s="95">
        <v>0</v>
      </c>
      <c r="X24" s="90"/>
      <c r="Y24" s="90"/>
      <c r="Z24" s="91"/>
      <c r="AA24" s="95">
        <v>7576</v>
      </c>
      <c r="AB24" s="90"/>
      <c r="AC24" s="90"/>
      <c r="AD24" s="91"/>
      <c r="AE24" s="95">
        <v>7576</v>
      </c>
      <c r="AF24" s="90"/>
      <c r="AG24" s="90"/>
      <c r="AH24" s="91"/>
      <c r="AI24" s="95">
        <v>0</v>
      </c>
      <c r="AJ24" s="90"/>
      <c r="AK24" s="90"/>
      <c r="AL24" s="90"/>
      <c r="AM24" s="91"/>
      <c r="AN24" s="96">
        <v>0</v>
      </c>
      <c r="AO24" s="95">
        <v>0</v>
      </c>
      <c r="AP24" s="90"/>
      <c r="AQ24" s="90"/>
      <c r="AR24" s="91"/>
      <c r="AS24" s="95">
        <v>0</v>
      </c>
      <c r="AT24" s="90"/>
      <c r="AU24" s="90"/>
      <c r="AV24" s="91"/>
      <c r="AW24" s="96">
        <v>0</v>
      </c>
      <c r="AX24" s="95">
        <v>7576</v>
      </c>
      <c r="AY24" s="90"/>
      <c r="AZ24" s="90"/>
      <c r="BA24" s="90"/>
      <c r="BB24" s="91"/>
      <c r="BC24" s="95">
        <v>0</v>
      </c>
      <c r="BD24" s="90"/>
      <c r="BE24" s="90"/>
      <c r="BF24" s="91"/>
      <c r="BG24" s="30"/>
      <c r="BH24" s="31">
        <f t="shared" si="18"/>
        <v>34708</v>
      </c>
      <c r="BI24" s="49">
        <v>0</v>
      </c>
      <c r="BK24" s="31">
        <v>80000</v>
      </c>
      <c r="BL24" s="31">
        <f t="shared" si="19"/>
        <v>-45292</v>
      </c>
      <c r="BM24" s="33">
        <f t="shared" si="20"/>
        <v>-0.56615000000000004</v>
      </c>
      <c r="BN24" s="26"/>
    </row>
    <row r="25" spans="1:66" ht="14.1">
      <c r="A25" s="25" t="s">
        <v>41</v>
      </c>
      <c r="B25" s="48"/>
      <c r="C25" s="48"/>
      <c r="D25" s="29" t="s">
        <v>52</v>
      </c>
      <c r="E25" s="95">
        <v>31251.919999999998</v>
      </c>
      <c r="F25" s="90"/>
      <c r="G25" s="90"/>
      <c r="H25" s="91"/>
      <c r="I25" s="95">
        <v>32824.050000000003</v>
      </c>
      <c r="J25" s="90"/>
      <c r="K25" s="90"/>
      <c r="L25" s="90"/>
      <c r="M25" s="91"/>
      <c r="N25" s="95">
        <v>30949.47</v>
      </c>
      <c r="O25" s="90"/>
      <c r="P25" s="90"/>
      <c r="Q25" s="91"/>
      <c r="R25" s="95">
        <f>42665.9+20000</f>
        <v>62665.9</v>
      </c>
      <c r="S25" s="90"/>
      <c r="T25" s="90"/>
      <c r="U25" s="90"/>
      <c r="V25" s="91"/>
      <c r="W25" s="95">
        <f>63883.56-20000</f>
        <v>43883.56</v>
      </c>
      <c r="X25" s="90"/>
      <c r="Y25" s="90"/>
      <c r="Z25" s="91"/>
      <c r="AA25" s="95">
        <v>84335.74</v>
      </c>
      <c r="AB25" s="90"/>
      <c r="AC25" s="90"/>
      <c r="AD25" s="91"/>
      <c r="AE25" s="95">
        <v>64452.65</v>
      </c>
      <c r="AF25" s="90"/>
      <c r="AG25" s="90"/>
      <c r="AH25" s="91"/>
      <c r="AI25" s="95">
        <v>39049.480000000003</v>
      </c>
      <c r="AJ25" s="90"/>
      <c r="AK25" s="90"/>
      <c r="AL25" s="90"/>
      <c r="AM25" s="91"/>
      <c r="AN25" s="96">
        <f>6914.71</f>
        <v>6914.71</v>
      </c>
      <c r="AO25" s="95">
        <f>45685.78-AN25</f>
        <v>38771.07</v>
      </c>
      <c r="AP25" s="90"/>
      <c r="AQ25" s="90"/>
      <c r="AR25" s="91"/>
      <c r="AS25" s="95">
        <v>24379.22</v>
      </c>
      <c r="AT25" s="90"/>
      <c r="AU25" s="90"/>
      <c r="AV25" s="91"/>
      <c r="AW25" s="96">
        <v>1814.45</v>
      </c>
      <c r="AX25" s="95">
        <f>37930.93-AW25</f>
        <v>36116.480000000003</v>
      </c>
      <c r="AY25" s="90"/>
      <c r="AZ25" s="90"/>
      <c r="BA25" s="90"/>
      <c r="BB25" s="91"/>
      <c r="BC25" s="95">
        <v>42008.92</v>
      </c>
      <c r="BD25" s="90"/>
      <c r="BE25" s="90"/>
      <c r="BF25" s="91"/>
      <c r="BG25" s="30"/>
      <c r="BH25" s="31">
        <f t="shared" si="18"/>
        <v>539417.62</v>
      </c>
      <c r="BI25" s="49">
        <f>BH25/BH43</f>
        <v>0.14130228915695536</v>
      </c>
      <c r="BK25" s="31">
        <v>475000</v>
      </c>
      <c r="BL25" s="31">
        <f t="shared" si="19"/>
        <v>64417.619999999995</v>
      </c>
      <c r="BM25" s="33">
        <f t="shared" si="20"/>
        <v>0.13561604210526315</v>
      </c>
      <c r="BN25" s="26"/>
    </row>
    <row r="26" spans="1:66" ht="12.95" hidden="1">
      <c r="A26" s="34" t="s">
        <v>53</v>
      </c>
      <c r="B26" s="34">
        <v>0.5</v>
      </c>
      <c r="C26" s="51"/>
      <c r="D26" s="52" t="s">
        <v>54</v>
      </c>
      <c r="E26" s="97">
        <f t="shared" ref="E26:E29" si="21">E$25*$B26</f>
        <v>15625.96</v>
      </c>
      <c r="F26" s="90"/>
      <c r="G26" s="90"/>
      <c r="H26" s="91"/>
      <c r="I26" s="97">
        <f t="shared" ref="I26:I29" si="22">I$25*$B26</f>
        <v>16412.025000000001</v>
      </c>
      <c r="J26" s="90"/>
      <c r="K26" s="90"/>
      <c r="L26" s="90"/>
      <c r="M26" s="91"/>
      <c r="N26" s="97">
        <f t="shared" ref="N26:N29" si="23">N$25*$B26</f>
        <v>15474.735000000001</v>
      </c>
      <c r="O26" s="90"/>
      <c r="P26" s="90"/>
      <c r="Q26" s="91"/>
      <c r="R26" s="97">
        <f t="shared" ref="R26:R29" si="24">R$25*$B26</f>
        <v>31332.95</v>
      </c>
      <c r="S26" s="90"/>
      <c r="T26" s="90"/>
      <c r="U26" s="90"/>
      <c r="V26" s="91"/>
      <c r="W26" s="97">
        <f t="shared" ref="W26:W29" si="25">W$25*$B26</f>
        <v>21941.78</v>
      </c>
      <c r="X26" s="90"/>
      <c r="Y26" s="90"/>
      <c r="Z26" s="91"/>
      <c r="AA26" s="97">
        <f t="shared" ref="AA26:AA29" si="26">AA$25*$B26</f>
        <v>42167.87</v>
      </c>
      <c r="AB26" s="90"/>
      <c r="AC26" s="90"/>
      <c r="AD26" s="91"/>
      <c r="AE26" s="97">
        <f t="shared" ref="AE26:AE29" si="27">AE$25*$B26</f>
        <v>32226.325000000001</v>
      </c>
      <c r="AF26" s="90"/>
      <c r="AG26" s="90"/>
      <c r="AH26" s="91"/>
      <c r="AI26" s="97">
        <f t="shared" ref="AI26:AI29" si="28">AI$25*$B26</f>
        <v>19524.740000000002</v>
      </c>
      <c r="AJ26" s="90"/>
      <c r="AK26" s="90"/>
      <c r="AL26" s="90"/>
      <c r="AM26" s="91"/>
      <c r="AN26" s="37"/>
      <c r="AO26" s="97">
        <f t="shared" ref="AO26:AO29" si="29">AO$25*$B26</f>
        <v>19385.535</v>
      </c>
      <c r="AP26" s="90"/>
      <c r="AQ26" s="90"/>
      <c r="AR26" s="91"/>
      <c r="AS26" s="97">
        <f t="shared" ref="AS26:AS29" si="30">AS$25*$B26</f>
        <v>12189.61</v>
      </c>
      <c r="AT26" s="90"/>
      <c r="AU26" s="90"/>
      <c r="AV26" s="91"/>
      <c r="AW26" s="37"/>
      <c r="AX26" s="97">
        <f t="shared" ref="AX26:AX29" si="31">AX$25*$B26</f>
        <v>18058.240000000002</v>
      </c>
      <c r="AY26" s="90"/>
      <c r="AZ26" s="90"/>
      <c r="BA26" s="90"/>
      <c r="BB26" s="91"/>
      <c r="BC26" s="97">
        <f t="shared" ref="BC26:BC29" si="32">BC$25*$B26</f>
        <v>21004.46</v>
      </c>
      <c r="BD26" s="90"/>
      <c r="BE26" s="90"/>
      <c r="BF26" s="91"/>
      <c r="BH26" s="37">
        <f t="shared" si="18"/>
        <v>265344.23000000004</v>
      </c>
      <c r="BI26" s="49"/>
      <c r="BK26" s="37">
        <v>231000</v>
      </c>
      <c r="BL26" s="37">
        <f t="shared" si="19"/>
        <v>34344.23000000004</v>
      </c>
      <c r="BM26" s="38">
        <f t="shared" si="20"/>
        <v>0.14867632034632053</v>
      </c>
      <c r="BN26" s="39"/>
    </row>
    <row r="27" spans="1:66" ht="12.95" hidden="1">
      <c r="A27" s="34" t="s">
        <v>55</v>
      </c>
      <c r="B27" s="34">
        <v>0.25</v>
      </c>
      <c r="C27" s="51"/>
      <c r="D27" s="52" t="s">
        <v>56</v>
      </c>
      <c r="E27" s="97">
        <f t="shared" si="21"/>
        <v>7812.98</v>
      </c>
      <c r="F27" s="90"/>
      <c r="G27" s="90"/>
      <c r="H27" s="91"/>
      <c r="I27" s="97">
        <f t="shared" si="22"/>
        <v>8206.0125000000007</v>
      </c>
      <c r="J27" s="90"/>
      <c r="K27" s="90"/>
      <c r="L27" s="90"/>
      <c r="M27" s="91"/>
      <c r="N27" s="97">
        <f t="shared" si="23"/>
        <v>7737.3675000000003</v>
      </c>
      <c r="O27" s="90"/>
      <c r="P27" s="90"/>
      <c r="Q27" s="91"/>
      <c r="R27" s="97">
        <f t="shared" si="24"/>
        <v>15666.475</v>
      </c>
      <c r="S27" s="90"/>
      <c r="T27" s="90"/>
      <c r="U27" s="90"/>
      <c r="V27" s="91"/>
      <c r="W27" s="97">
        <f t="shared" si="25"/>
        <v>10970.89</v>
      </c>
      <c r="X27" s="90"/>
      <c r="Y27" s="90"/>
      <c r="Z27" s="91"/>
      <c r="AA27" s="97">
        <f t="shared" si="26"/>
        <v>21083.935000000001</v>
      </c>
      <c r="AB27" s="90"/>
      <c r="AC27" s="90"/>
      <c r="AD27" s="91"/>
      <c r="AE27" s="97">
        <f t="shared" si="27"/>
        <v>16113.1625</v>
      </c>
      <c r="AF27" s="90"/>
      <c r="AG27" s="90"/>
      <c r="AH27" s="91"/>
      <c r="AI27" s="97">
        <f t="shared" si="28"/>
        <v>9762.3700000000008</v>
      </c>
      <c r="AJ27" s="90"/>
      <c r="AK27" s="90"/>
      <c r="AL27" s="90"/>
      <c r="AM27" s="91"/>
      <c r="AN27" s="37"/>
      <c r="AO27" s="97">
        <f t="shared" si="29"/>
        <v>9692.7674999999999</v>
      </c>
      <c r="AP27" s="90"/>
      <c r="AQ27" s="90"/>
      <c r="AR27" s="91"/>
      <c r="AS27" s="97">
        <f t="shared" si="30"/>
        <v>6094.8050000000003</v>
      </c>
      <c r="AT27" s="90"/>
      <c r="AU27" s="90"/>
      <c r="AV27" s="91"/>
      <c r="AW27" s="37"/>
      <c r="AX27" s="97">
        <f t="shared" si="31"/>
        <v>9029.1200000000008</v>
      </c>
      <c r="AY27" s="90"/>
      <c r="AZ27" s="90"/>
      <c r="BA27" s="90"/>
      <c r="BB27" s="91"/>
      <c r="BC27" s="97">
        <f t="shared" si="32"/>
        <v>10502.23</v>
      </c>
      <c r="BD27" s="90"/>
      <c r="BE27" s="90"/>
      <c r="BF27" s="91"/>
      <c r="BH27" s="37">
        <f t="shared" si="18"/>
        <v>132672.11500000002</v>
      </c>
      <c r="BI27" s="49"/>
      <c r="BK27" s="37">
        <v>129000</v>
      </c>
      <c r="BL27" s="37">
        <f t="shared" si="19"/>
        <v>3672.1150000000198</v>
      </c>
      <c r="BM27" s="38">
        <f t="shared" si="20"/>
        <v>2.8466007751938138E-2</v>
      </c>
      <c r="BN27" s="39"/>
    </row>
    <row r="28" spans="1:66" ht="12.95" hidden="1">
      <c r="A28" s="34" t="s">
        <v>57</v>
      </c>
      <c r="B28" s="34">
        <v>0.15</v>
      </c>
      <c r="C28" s="51"/>
      <c r="D28" s="52" t="s">
        <v>58</v>
      </c>
      <c r="E28" s="97">
        <f t="shared" si="21"/>
        <v>4687.7879999999996</v>
      </c>
      <c r="F28" s="90"/>
      <c r="G28" s="90"/>
      <c r="H28" s="91"/>
      <c r="I28" s="97">
        <f t="shared" si="22"/>
        <v>4923.6075000000001</v>
      </c>
      <c r="J28" s="90"/>
      <c r="K28" s="90"/>
      <c r="L28" s="90"/>
      <c r="M28" s="91"/>
      <c r="N28" s="97">
        <f t="shared" si="23"/>
        <v>4642.4205000000002</v>
      </c>
      <c r="O28" s="90"/>
      <c r="P28" s="90"/>
      <c r="Q28" s="91"/>
      <c r="R28" s="97">
        <f t="shared" si="24"/>
        <v>9399.8850000000002</v>
      </c>
      <c r="S28" s="90"/>
      <c r="T28" s="90"/>
      <c r="U28" s="90"/>
      <c r="V28" s="91"/>
      <c r="W28" s="97">
        <f t="shared" si="25"/>
        <v>6582.5339999999997</v>
      </c>
      <c r="X28" s="90"/>
      <c r="Y28" s="90"/>
      <c r="Z28" s="91"/>
      <c r="AA28" s="97">
        <f t="shared" si="26"/>
        <v>12650.361000000001</v>
      </c>
      <c r="AB28" s="90"/>
      <c r="AC28" s="90"/>
      <c r="AD28" s="91"/>
      <c r="AE28" s="97">
        <f t="shared" si="27"/>
        <v>9667.8974999999991</v>
      </c>
      <c r="AF28" s="90"/>
      <c r="AG28" s="90"/>
      <c r="AH28" s="91"/>
      <c r="AI28" s="97">
        <f t="shared" si="28"/>
        <v>5857.4220000000005</v>
      </c>
      <c r="AJ28" s="90"/>
      <c r="AK28" s="90"/>
      <c r="AL28" s="90"/>
      <c r="AM28" s="91"/>
      <c r="AN28" s="37"/>
      <c r="AO28" s="97">
        <f t="shared" si="29"/>
        <v>5815.6605</v>
      </c>
      <c r="AP28" s="90"/>
      <c r="AQ28" s="90"/>
      <c r="AR28" s="91"/>
      <c r="AS28" s="97">
        <f t="shared" si="30"/>
        <v>3656.8830000000003</v>
      </c>
      <c r="AT28" s="90"/>
      <c r="AU28" s="90"/>
      <c r="AV28" s="91"/>
      <c r="AW28" s="37"/>
      <c r="AX28" s="97">
        <f t="shared" si="31"/>
        <v>5417.4720000000007</v>
      </c>
      <c r="AY28" s="90"/>
      <c r="AZ28" s="90"/>
      <c r="BA28" s="90"/>
      <c r="BB28" s="91"/>
      <c r="BC28" s="97">
        <f t="shared" si="32"/>
        <v>6301.3379999999997</v>
      </c>
      <c r="BD28" s="90"/>
      <c r="BE28" s="90"/>
      <c r="BF28" s="91"/>
      <c r="BH28" s="37">
        <f t="shared" si="18"/>
        <v>79603.269</v>
      </c>
      <c r="BI28" s="49"/>
      <c r="BK28" s="37">
        <v>76000</v>
      </c>
      <c r="BL28" s="37">
        <f t="shared" si="19"/>
        <v>3603.2690000000002</v>
      </c>
      <c r="BM28" s="38">
        <f t="shared" si="20"/>
        <v>4.7411434210526321E-2</v>
      </c>
      <c r="BN28" s="39"/>
    </row>
    <row r="29" spans="1:66" ht="12.95" hidden="1">
      <c r="A29" s="34" t="s">
        <v>59</v>
      </c>
      <c r="B29" s="34">
        <v>0.1</v>
      </c>
      <c r="C29" s="51"/>
      <c r="D29" s="52" t="s">
        <v>60</v>
      </c>
      <c r="E29" s="97">
        <f t="shared" si="21"/>
        <v>3125.192</v>
      </c>
      <c r="F29" s="90"/>
      <c r="G29" s="90"/>
      <c r="H29" s="91"/>
      <c r="I29" s="97">
        <f t="shared" si="22"/>
        <v>3282.4050000000007</v>
      </c>
      <c r="J29" s="90"/>
      <c r="K29" s="90"/>
      <c r="L29" s="90"/>
      <c r="M29" s="91"/>
      <c r="N29" s="97">
        <f t="shared" si="23"/>
        <v>3094.9470000000001</v>
      </c>
      <c r="O29" s="90"/>
      <c r="P29" s="90"/>
      <c r="Q29" s="91"/>
      <c r="R29" s="97">
        <f t="shared" si="24"/>
        <v>6266.59</v>
      </c>
      <c r="S29" s="90"/>
      <c r="T29" s="90"/>
      <c r="U29" s="90"/>
      <c r="V29" s="91"/>
      <c r="W29" s="97">
        <f t="shared" si="25"/>
        <v>4388.3559999999998</v>
      </c>
      <c r="X29" s="90"/>
      <c r="Y29" s="90"/>
      <c r="Z29" s="91"/>
      <c r="AA29" s="97">
        <f t="shared" si="26"/>
        <v>8433.5740000000005</v>
      </c>
      <c r="AB29" s="90"/>
      <c r="AC29" s="90"/>
      <c r="AD29" s="91"/>
      <c r="AE29" s="97">
        <f t="shared" si="27"/>
        <v>6445.2650000000003</v>
      </c>
      <c r="AF29" s="90"/>
      <c r="AG29" s="90"/>
      <c r="AH29" s="91"/>
      <c r="AI29" s="97">
        <f t="shared" si="28"/>
        <v>3904.9480000000003</v>
      </c>
      <c r="AJ29" s="90"/>
      <c r="AK29" s="90"/>
      <c r="AL29" s="90"/>
      <c r="AM29" s="91"/>
      <c r="AN29" s="37"/>
      <c r="AO29" s="97">
        <f t="shared" si="29"/>
        <v>3877.107</v>
      </c>
      <c r="AP29" s="90"/>
      <c r="AQ29" s="90"/>
      <c r="AR29" s="91"/>
      <c r="AS29" s="97">
        <f t="shared" si="30"/>
        <v>2437.922</v>
      </c>
      <c r="AT29" s="90"/>
      <c r="AU29" s="90"/>
      <c r="AV29" s="91"/>
      <c r="AW29" s="37"/>
      <c r="AX29" s="97">
        <f t="shared" si="31"/>
        <v>3611.6480000000006</v>
      </c>
      <c r="AY29" s="90"/>
      <c r="AZ29" s="90"/>
      <c r="BA29" s="90"/>
      <c r="BB29" s="91"/>
      <c r="BC29" s="97">
        <f t="shared" si="32"/>
        <v>4200.8919999999998</v>
      </c>
      <c r="BD29" s="90"/>
      <c r="BE29" s="90"/>
      <c r="BF29" s="91"/>
      <c r="BH29" s="37">
        <f t="shared" si="18"/>
        <v>53068.846000000005</v>
      </c>
      <c r="BI29" s="49"/>
      <c r="BK29" s="37">
        <v>36000</v>
      </c>
      <c r="BL29" s="37">
        <f t="shared" si="19"/>
        <v>17068.846000000005</v>
      </c>
      <c r="BM29" s="38">
        <f t="shared" si="20"/>
        <v>0.47413461111111127</v>
      </c>
      <c r="BN29" s="39"/>
    </row>
    <row r="30" spans="1:66" ht="14.1">
      <c r="A30" s="25" t="s">
        <v>41</v>
      </c>
      <c r="B30" s="25"/>
      <c r="C30" s="48"/>
      <c r="D30" s="29" t="s">
        <v>61</v>
      </c>
      <c r="E30" s="95">
        <v>0</v>
      </c>
      <c r="F30" s="90"/>
      <c r="G30" s="90"/>
      <c r="H30" s="91"/>
      <c r="I30" s="95">
        <v>0</v>
      </c>
      <c r="J30" s="90"/>
      <c r="K30" s="90"/>
      <c r="L30" s="90"/>
      <c r="M30" s="91"/>
      <c r="N30" s="95">
        <v>0</v>
      </c>
      <c r="O30" s="90"/>
      <c r="P30" s="90"/>
      <c r="Q30" s="91"/>
      <c r="R30" s="95">
        <f>13781.27+1216.2</f>
        <v>14997.470000000001</v>
      </c>
      <c r="S30" s="90"/>
      <c r="T30" s="90"/>
      <c r="U30" s="90"/>
      <c r="V30" s="91"/>
      <c r="W30" s="95">
        <f>7051.86+10665.57+941.24</f>
        <v>18658.670000000002</v>
      </c>
      <c r="X30" s="90"/>
      <c r="Y30" s="90"/>
      <c r="Z30" s="91"/>
      <c r="AA30" s="95">
        <f>9504+838.73+2408.7+3454.85+13801.4+706.99+1519.99+838.73+134.14+1797.82</f>
        <v>35005.350000000006</v>
      </c>
      <c r="AB30" s="90"/>
      <c r="AC30" s="90"/>
      <c r="AD30" s="91"/>
      <c r="AE30" s="95">
        <f>10189.15+899.19+996.02+87.9+9407.63+10086.06+1720.32</f>
        <v>33386.269999999997</v>
      </c>
      <c r="AF30" s="90"/>
      <c r="AG30" s="90"/>
      <c r="AH30" s="91"/>
      <c r="AI30" s="95">
        <v>0</v>
      </c>
      <c r="AJ30" s="90"/>
      <c r="AK30" s="90"/>
      <c r="AL30" s="90"/>
      <c r="AM30" s="91"/>
      <c r="AN30" s="96">
        <v>0</v>
      </c>
      <c r="AO30" s="95">
        <f>8706.01+18375+1621.59</f>
        <v>28702.600000000002</v>
      </c>
      <c r="AP30" s="90"/>
      <c r="AQ30" s="90"/>
      <c r="AR30" s="91"/>
      <c r="AS30" s="95">
        <v>0</v>
      </c>
      <c r="AT30" s="90"/>
      <c r="AU30" s="90"/>
      <c r="AV30" s="91"/>
      <c r="AW30" s="96"/>
      <c r="AX30" s="95">
        <f>8909.86+786.3+14070.5+3516.48+1552.05</f>
        <v>28835.19</v>
      </c>
      <c r="AY30" s="90"/>
      <c r="AZ30" s="90"/>
      <c r="BA30" s="90"/>
      <c r="BB30" s="91"/>
      <c r="BC30" s="95">
        <f>90.15+7.96</f>
        <v>98.11</v>
      </c>
      <c r="BD30" s="90"/>
      <c r="BE30" s="90"/>
      <c r="BF30" s="91"/>
      <c r="BG30" s="30"/>
      <c r="BH30" s="31">
        <f t="shared" si="18"/>
        <v>159683.66</v>
      </c>
      <c r="BI30" s="49">
        <f>BH30/BH43</f>
        <v>4.1829680496830911E-2</v>
      </c>
      <c r="BK30" s="31">
        <v>142000</v>
      </c>
      <c r="BL30" s="31">
        <f t="shared" si="19"/>
        <v>17683.660000000003</v>
      </c>
      <c r="BM30" s="33">
        <f t="shared" si="20"/>
        <v>0.12453281690140848</v>
      </c>
      <c r="BN30" s="26"/>
    </row>
    <row r="31" spans="1:66" ht="12.95" hidden="1">
      <c r="A31" s="34" t="s">
        <v>43</v>
      </c>
      <c r="B31" s="34">
        <v>0.9</v>
      </c>
      <c r="C31" s="51"/>
      <c r="D31" s="52" t="s">
        <v>43</v>
      </c>
      <c r="E31" s="97">
        <f t="shared" ref="E31:E32" si="33">E$30*$B31</f>
        <v>0</v>
      </c>
      <c r="F31" s="90"/>
      <c r="G31" s="90"/>
      <c r="H31" s="91"/>
      <c r="I31" s="97">
        <f t="shared" ref="I31:I32" si="34">I$30*$B31</f>
        <v>0</v>
      </c>
      <c r="J31" s="90"/>
      <c r="K31" s="90"/>
      <c r="L31" s="90"/>
      <c r="M31" s="91"/>
      <c r="N31" s="97">
        <f t="shared" ref="N31:N32" si="35">N$30*$B31</f>
        <v>0</v>
      </c>
      <c r="O31" s="90"/>
      <c r="P31" s="90"/>
      <c r="Q31" s="91"/>
      <c r="R31" s="97">
        <f t="shared" ref="R31:R32" si="36">R$30*$B31</f>
        <v>13497.723000000002</v>
      </c>
      <c r="S31" s="90"/>
      <c r="T31" s="90"/>
      <c r="U31" s="90"/>
      <c r="V31" s="91"/>
      <c r="W31" s="97">
        <f t="shared" ref="W31:W32" si="37">W$30*$B31</f>
        <v>16792.803000000004</v>
      </c>
      <c r="X31" s="90"/>
      <c r="Y31" s="90"/>
      <c r="Z31" s="91"/>
      <c r="AA31" s="97">
        <f t="shared" ref="AA31:AA32" si="38">AA$30*$B31</f>
        <v>31504.815000000006</v>
      </c>
      <c r="AB31" s="90"/>
      <c r="AC31" s="90"/>
      <c r="AD31" s="91"/>
      <c r="AE31" s="97">
        <f t="shared" ref="AE31:AE32" si="39">AE$30*$B31</f>
        <v>30047.642999999996</v>
      </c>
      <c r="AF31" s="90"/>
      <c r="AG31" s="90"/>
      <c r="AH31" s="91"/>
      <c r="AI31" s="97">
        <f t="shared" ref="AI31:AI32" si="40">AI$30*$B31</f>
        <v>0</v>
      </c>
      <c r="AJ31" s="90"/>
      <c r="AK31" s="90"/>
      <c r="AL31" s="90"/>
      <c r="AM31" s="91"/>
      <c r="AN31" s="37"/>
      <c r="AO31" s="97">
        <f t="shared" ref="AO31:AO32" si="41">AO$30*$B31</f>
        <v>25832.340000000004</v>
      </c>
      <c r="AP31" s="90"/>
      <c r="AQ31" s="90"/>
      <c r="AR31" s="91"/>
      <c r="AS31" s="97">
        <f t="shared" ref="AS31:AS32" si="42">AS$30*$B31</f>
        <v>0</v>
      </c>
      <c r="AT31" s="90"/>
      <c r="AU31" s="90"/>
      <c r="AV31" s="91"/>
      <c r="AW31" s="37"/>
      <c r="AX31" s="97">
        <f t="shared" ref="AX31:AX32" si="43">AX$30*$B31</f>
        <v>25951.670999999998</v>
      </c>
      <c r="AY31" s="90"/>
      <c r="AZ31" s="90"/>
      <c r="BA31" s="90"/>
      <c r="BB31" s="91"/>
      <c r="BC31" s="97">
        <f t="shared" ref="BC31:BC32" si="44">BC$30*$B31</f>
        <v>88.299000000000007</v>
      </c>
      <c r="BD31" s="90"/>
      <c r="BE31" s="90"/>
      <c r="BF31" s="91"/>
      <c r="BH31" s="37">
        <f t="shared" si="18"/>
        <v>143715.29400000002</v>
      </c>
      <c r="BI31" s="49"/>
      <c r="BK31" s="37"/>
      <c r="BL31" s="37"/>
      <c r="BM31" s="38"/>
      <c r="BN31" s="39"/>
    </row>
    <row r="32" spans="1:66" ht="12.95" hidden="1">
      <c r="A32" s="34" t="s">
        <v>44</v>
      </c>
      <c r="B32" s="34">
        <v>0.1</v>
      </c>
      <c r="C32" s="51"/>
      <c r="D32" s="52" t="s">
        <v>62</v>
      </c>
      <c r="E32" s="97">
        <f t="shared" si="33"/>
        <v>0</v>
      </c>
      <c r="F32" s="90"/>
      <c r="G32" s="90"/>
      <c r="H32" s="91"/>
      <c r="I32" s="97">
        <f t="shared" si="34"/>
        <v>0</v>
      </c>
      <c r="J32" s="90"/>
      <c r="K32" s="90"/>
      <c r="L32" s="90"/>
      <c r="M32" s="91"/>
      <c r="N32" s="97">
        <f t="shared" si="35"/>
        <v>0</v>
      </c>
      <c r="O32" s="90"/>
      <c r="P32" s="90"/>
      <c r="Q32" s="91"/>
      <c r="R32" s="97">
        <f t="shared" si="36"/>
        <v>1499.7470000000003</v>
      </c>
      <c r="S32" s="90"/>
      <c r="T32" s="90"/>
      <c r="U32" s="90"/>
      <c r="V32" s="91"/>
      <c r="W32" s="97">
        <f t="shared" si="37"/>
        <v>1865.8670000000002</v>
      </c>
      <c r="X32" s="90"/>
      <c r="Y32" s="90"/>
      <c r="Z32" s="91"/>
      <c r="AA32" s="97">
        <f t="shared" si="38"/>
        <v>3500.5350000000008</v>
      </c>
      <c r="AB32" s="90"/>
      <c r="AC32" s="90"/>
      <c r="AD32" s="91"/>
      <c r="AE32" s="97">
        <f t="shared" si="39"/>
        <v>3338.627</v>
      </c>
      <c r="AF32" s="90"/>
      <c r="AG32" s="90"/>
      <c r="AH32" s="91"/>
      <c r="AI32" s="97">
        <f t="shared" si="40"/>
        <v>0</v>
      </c>
      <c r="AJ32" s="90"/>
      <c r="AK32" s="90"/>
      <c r="AL32" s="90"/>
      <c r="AM32" s="91"/>
      <c r="AN32" s="37"/>
      <c r="AO32" s="97">
        <f t="shared" si="41"/>
        <v>2870.26</v>
      </c>
      <c r="AP32" s="90"/>
      <c r="AQ32" s="90"/>
      <c r="AR32" s="91"/>
      <c r="AS32" s="97">
        <f t="shared" si="42"/>
        <v>0</v>
      </c>
      <c r="AT32" s="90"/>
      <c r="AU32" s="90"/>
      <c r="AV32" s="91"/>
      <c r="AW32" s="37"/>
      <c r="AX32" s="97">
        <f t="shared" si="43"/>
        <v>2883.5190000000002</v>
      </c>
      <c r="AY32" s="90"/>
      <c r="AZ32" s="90"/>
      <c r="BA32" s="90"/>
      <c r="BB32" s="91"/>
      <c r="BC32" s="97">
        <f t="shared" si="44"/>
        <v>9.8109999999999999</v>
      </c>
      <c r="BD32" s="90"/>
      <c r="BE32" s="90"/>
      <c r="BF32" s="91"/>
      <c r="BH32" s="37">
        <f t="shared" si="18"/>
        <v>15968.366000000002</v>
      </c>
      <c r="BI32" s="49"/>
      <c r="BK32" s="37"/>
      <c r="BL32" s="37"/>
      <c r="BM32" s="38"/>
      <c r="BN32" s="39"/>
    </row>
    <row r="33" spans="1:66" ht="14.1">
      <c r="A33" s="25" t="s">
        <v>41</v>
      </c>
      <c r="B33" s="25"/>
      <c r="C33" s="48"/>
      <c r="D33" s="29" t="s">
        <v>63</v>
      </c>
      <c r="E33" s="95">
        <v>0</v>
      </c>
      <c r="F33" s="90"/>
      <c r="G33" s="90"/>
      <c r="H33" s="91"/>
      <c r="I33" s="95">
        <v>0</v>
      </c>
      <c r="J33" s="90"/>
      <c r="K33" s="90"/>
      <c r="L33" s="90"/>
      <c r="M33" s="91"/>
      <c r="N33" s="95">
        <v>7905.68</v>
      </c>
      <c r="O33" s="90"/>
      <c r="P33" s="90"/>
      <c r="Q33" s="91"/>
      <c r="R33" s="95">
        <f>28094.44-R30</f>
        <v>13096.969999999998</v>
      </c>
      <c r="S33" s="90"/>
      <c r="T33" s="90"/>
      <c r="U33" s="90"/>
      <c r="V33" s="91"/>
      <c r="W33" s="95">
        <f>32611.37-W30</f>
        <v>13952.699999999997</v>
      </c>
      <c r="X33" s="90"/>
      <c r="Y33" s="90"/>
      <c r="Z33" s="91"/>
      <c r="AA33" s="95">
        <f>58416.16-AA30</f>
        <v>23410.809999999998</v>
      </c>
      <c r="AB33" s="90"/>
      <c r="AC33" s="90"/>
      <c r="AD33" s="91"/>
      <c r="AE33" s="95">
        <f>57944.04-AE30</f>
        <v>24557.770000000004</v>
      </c>
      <c r="AF33" s="90"/>
      <c r="AG33" s="90"/>
      <c r="AH33" s="91"/>
      <c r="AI33" s="95">
        <v>8170.53</v>
      </c>
      <c r="AJ33" s="90"/>
      <c r="AK33" s="90"/>
      <c r="AL33" s="90"/>
      <c r="AM33" s="91"/>
      <c r="AN33" s="96">
        <v>2546</v>
      </c>
      <c r="AO33" s="95">
        <f>17379.41-2546-8000.01-87.9+5528.31</f>
        <v>12273.810000000001</v>
      </c>
      <c r="AP33" s="90"/>
      <c r="AQ33" s="90"/>
      <c r="AR33" s="91"/>
      <c r="AS33" s="95">
        <f>-25524.9+34743.9</f>
        <v>9219</v>
      </c>
      <c r="AT33" s="90"/>
      <c r="AU33" s="90"/>
      <c r="AV33" s="91"/>
      <c r="AW33" s="96">
        <f>5092</f>
        <v>5092</v>
      </c>
      <c r="AX33" s="95">
        <f>43787.08-AX30-AW33</f>
        <v>9859.8900000000031</v>
      </c>
      <c r="AY33" s="90"/>
      <c r="AZ33" s="90"/>
      <c r="BA33" s="90"/>
      <c r="BB33" s="91"/>
      <c r="BC33" s="95">
        <v>0</v>
      </c>
      <c r="BD33" s="90"/>
      <c r="BE33" s="90"/>
      <c r="BF33" s="91"/>
      <c r="BG33" s="30"/>
      <c r="BH33" s="31">
        <f t="shared" si="18"/>
        <v>130085.15999999999</v>
      </c>
      <c r="BI33" s="49">
        <f>BH33/BH43</f>
        <v>3.4076252261371814E-2</v>
      </c>
      <c r="BK33" s="31">
        <f>95000+62000</f>
        <v>157000</v>
      </c>
      <c r="BL33" s="31">
        <f>BH33-BK33</f>
        <v>-26914.840000000011</v>
      </c>
      <c r="BM33" s="33">
        <f>BL33/BK33</f>
        <v>-0.17143210191082808</v>
      </c>
      <c r="BN33" s="26"/>
    </row>
    <row r="34" spans="1:66" ht="12.95" hidden="1">
      <c r="A34" s="34" t="s">
        <v>43</v>
      </c>
      <c r="B34" s="34">
        <v>0.9</v>
      </c>
      <c r="C34" s="51"/>
      <c r="D34" s="52" t="s">
        <v>43</v>
      </c>
      <c r="E34" s="97">
        <f t="shared" ref="E34:E35" si="45">E$33*$B34</f>
        <v>0</v>
      </c>
      <c r="F34" s="90"/>
      <c r="G34" s="90"/>
      <c r="H34" s="91"/>
      <c r="I34" s="97">
        <f t="shared" ref="I34:I35" si="46">I$33*$B34</f>
        <v>0</v>
      </c>
      <c r="J34" s="90"/>
      <c r="K34" s="90"/>
      <c r="L34" s="90"/>
      <c r="M34" s="91"/>
      <c r="N34" s="97">
        <f t="shared" ref="N34:N35" si="47">N$33*$B34</f>
        <v>7115.1120000000001</v>
      </c>
      <c r="O34" s="90"/>
      <c r="P34" s="90"/>
      <c r="Q34" s="91"/>
      <c r="R34" s="97">
        <f t="shared" ref="R34:R35" si="48">R$33*$B34</f>
        <v>11787.272999999997</v>
      </c>
      <c r="S34" s="90"/>
      <c r="T34" s="90"/>
      <c r="U34" s="90"/>
      <c r="V34" s="91"/>
      <c r="W34" s="97">
        <f t="shared" ref="W34:W35" si="49">W$33*$B34</f>
        <v>12557.429999999998</v>
      </c>
      <c r="X34" s="90"/>
      <c r="Y34" s="90"/>
      <c r="Z34" s="91"/>
      <c r="AA34" s="97">
        <f t="shared" ref="AA34:AA35" si="50">AA$33*$B34</f>
        <v>21069.728999999999</v>
      </c>
      <c r="AB34" s="90"/>
      <c r="AC34" s="90"/>
      <c r="AD34" s="91"/>
      <c r="AE34" s="97">
        <f t="shared" ref="AE34:AE35" si="51">AE$33*$B34</f>
        <v>22101.993000000006</v>
      </c>
      <c r="AF34" s="90"/>
      <c r="AG34" s="90"/>
      <c r="AH34" s="91"/>
      <c r="AI34" s="97">
        <f t="shared" ref="AI34:AI35" si="52">AI$33*$B34</f>
        <v>7353.4769999999999</v>
      </c>
      <c r="AJ34" s="90"/>
      <c r="AK34" s="90"/>
      <c r="AL34" s="90"/>
      <c r="AM34" s="91"/>
      <c r="AN34" s="37"/>
      <c r="AO34" s="97">
        <f t="shared" ref="AO34:AO35" si="53">AO$33*$B34</f>
        <v>11046.429000000002</v>
      </c>
      <c r="AP34" s="90"/>
      <c r="AQ34" s="90"/>
      <c r="AR34" s="91"/>
      <c r="AS34" s="97">
        <f t="shared" ref="AS34:AS35" si="54">AS$33*$B34</f>
        <v>8297.1</v>
      </c>
      <c r="AT34" s="90"/>
      <c r="AU34" s="90"/>
      <c r="AV34" s="91"/>
      <c r="AW34" s="37"/>
      <c r="AX34" s="97">
        <f t="shared" ref="AX34:AX35" si="55">AX$33*$B34</f>
        <v>8873.9010000000035</v>
      </c>
      <c r="AY34" s="90"/>
      <c r="AZ34" s="90"/>
      <c r="BA34" s="90"/>
      <c r="BB34" s="91"/>
      <c r="BC34" s="97">
        <f t="shared" ref="BC34:BC35" si="56">BC$33*$B34</f>
        <v>0</v>
      </c>
      <c r="BD34" s="90"/>
      <c r="BE34" s="90"/>
      <c r="BF34" s="91"/>
      <c r="BH34" s="37">
        <f t="shared" si="18"/>
        <v>110202.444</v>
      </c>
      <c r="BI34" s="49"/>
      <c r="BK34" s="37"/>
      <c r="BL34" s="37"/>
      <c r="BM34" s="38"/>
      <c r="BN34" s="39"/>
    </row>
    <row r="35" spans="1:66" ht="12.95" hidden="1">
      <c r="A35" s="34" t="s">
        <v>44</v>
      </c>
      <c r="B35" s="34">
        <v>0.1</v>
      </c>
      <c r="C35" s="51"/>
      <c r="D35" s="52" t="s">
        <v>62</v>
      </c>
      <c r="E35" s="97">
        <f t="shared" si="45"/>
        <v>0</v>
      </c>
      <c r="F35" s="90"/>
      <c r="G35" s="90"/>
      <c r="H35" s="91"/>
      <c r="I35" s="97">
        <f t="shared" si="46"/>
        <v>0</v>
      </c>
      <c r="J35" s="90"/>
      <c r="K35" s="90"/>
      <c r="L35" s="90"/>
      <c r="M35" s="91"/>
      <c r="N35" s="97">
        <f t="shared" si="47"/>
        <v>790.5680000000001</v>
      </c>
      <c r="O35" s="90"/>
      <c r="P35" s="90"/>
      <c r="Q35" s="91"/>
      <c r="R35" s="97">
        <f t="shared" si="48"/>
        <v>1309.6969999999999</v>
      </c>
      <c r="S35" s="90"/>
      <c r="T35" s="90"/>
      <c r="U35" s="90"/>
      <c r="V35" s="91"/>
      <c r="W35" s="97">
        <f t="shared" si="49"/>
        <v>1395.2699999999998</v>
      </c>
      <c r="X35" s="90"/>
      <c r="Y35" s="90"/>
      <c r="Z35" s="91"/>
      <c r="AA35" s="97">
        <f t="shared" si="50"/>
        <v>2341.0809999999997</v>
      </c>
      <c r="AB35" s="90"/>
      <c r="AC35" s="90"/>
      <c r="AD35" s="91"/>
      <c r="AE35" s="97">
        <f t="shared" si="51"/>
        <v>2455.7770000000005</v>
      </c>
      <c r="AF35" s="90"/>
      <c r="AG35" s="90"/>
      <c r="AH35" s="91"/>
      <c r="AI35" s="97">
        <f t="shared" si="52"/>
        <v>817.053</v>
      </c>
      <c r="AJ35" s="90"/>
      <c r="AK35" s="90"/>
      <c r="AL35" s="90"/>
      <c r="AM35" s="91"/>
      <c r="AN35" s="37"/>
      <c r="AO35" s="97">
        <f t="shared" si="53"/>
        <v>1227.3810000000001</v>
      </c>
      <c r="AP35" s="90"/>
      <c r="AQ35" s="90"/>
      <c r="AR35" s="91"/>
      <c r="AS35" s="97">
        <f t="shared" si="54"/>
        <v>921.90000000000009</v>
      </c>
      <c r="AT35" s="90"/>
      <c r="AU35" s="90"/>
      <c r="AV35" s="91"/>
      <c r="AW35" s="37"/>
      <c r="AX35" s="97">
        <f t="shared" si="55"/>
        <v>985.98900000000037</v>
      </c>
      <c r="AY35" s="90"/>
      <c r="AZ35" s="90"/>
      <c r="BA35" s="90"/>
      <c r="BB35" s="91"/>
      <c r="BC35" s="97">
        <f t="shared" si="56"/>
        <v>0</v>
      </c>
      <c r="BD35" s="90"/>
      <c r="BE35" s="90"/>
      <c r="BF35" s="91"/>
      <c r="BH35" s="37">
        <f t="shared" si="18"/>
        <v>12244.715999999999</v>
      </c>
      <c r="BI35" s="49"/>
      <c r="BK35" s="37"/>
      <c r="BL35" s="37"/>
      <c r="BM35" s="38"/>
      <c r="BN35" s="39"/>
    </row>
    <row r="36" spans="1:66" ht="14.1">
      <c r="A36" s="25" t="s">
        <v>41</v>
      </c>
      <c r="B36" s="25"/>
      <c r="C36" s="48"/>
      <c r="D36" s="29" t="s">
        <v>64</v>
      </c>
      <c r="E36" s="95">
        <v>14528.73</v>
      </c>
      <c r="F36" s="90"/>
      <c r="G36" s="90"/>
      <c r="H36" s="91"/>
      <c r="I36" s="95">
        <v>10638.63</v>
      </c>
      <c r="J36" s="90"/>
      <c r="K36" s="90"/>
      <c r="L36" s="90"/>
      <c r="M36" s="91"/>
      <c r="N36" s="95">
        <v>11533.37</v>
      </c>
      <c r="O36" s="90"/>
      <c r="P36" s="90"/>
      <c r="Q36" s="91"/>
      <c r="R36" s="95">
        <f>4437.2</f>
        <v>4437.2</v>
      </c>
      <c r="S36" s="90"/>
      <c r="T36" s="90"/>
      <c r="U36" s="90"/>
      <c r="V36" s="91"/>
      <c r="W36" s="95">
        <v>7986.14</v>
      </c>
      <c r="X36" s="90"/>
      <c r="Y36" s="90"/>
      <c r="Z36" s="91"/>
      <c r="AA36" s="95">
        <v>37587.75</v>
      </c>
      <c r="AB36" s="90"/>
      <c r="AC36" s="90"/>
      <c r="AD36" s="91"/>
      <c r="AE36" s="95">
        <v>28441.87</v>
      </c>
      <c r="AF36" s="90"/>
      <c r="AG36" s="90"/>
      <c r="AH36" s="91"/>
      <c r="AI36" s="95">
        <v>23030.52</v>
      </c>
      <c r="AJ36" s="90"/>
      <c r="AK36" s="90"/>
      <c r="AL36" s="90"/>
      <c r="AM36" s="91"/>
      <c r="AN36" s="96">
        <f>4593.75*1.08825</f>
        <v>4999.1484375</v>
      </c>
      <c r="AO36" s="95">
        <f>26368.77-AN36</f>
        <v>21369.6215625</v>
      </c>
      <c r="AP36" s="90"/>
      <c r="AQ36" s="90"/>
      <c r="AR36" s="91"/>
      <c r="AS36" s="95">
        <v>12595.78</v>
      </c>
      <c r="AT36" s="90"/>
      <c r="AU36" s="90"/>
      <c r="AV36" s="91"/>
      <c r="AW36" s="96">
        <f>6890.63*1.08825</f>
        <v>7498.7280974999994</v>
      </c>
      <c r="AX36" s="95">
        <f>20757.28-AW36</f>
        <v>13258.551902499999</v>
      </c>
      <c r="AY36" s="90"/>
      <c r="AZ36" s="90"/>
      <c r="BA36" s="90"/>
      <c r="BB36" s="91"/>
      <c r="BC36" s="95">
        <f>21994.22</f>
        <v>21994.22</v>
      </c>
      <c r="BD36" s="90"/>
      <c r="BE36" s="90"/>
      <c r="BF36" s="91"/>
      <c r="BG36" s="30"/>
      <c r="BH36" s="31">
        <f t="shared" si="18"/>
        <v>219900.25999999998</v>
      </c>
      <c r="BI36" s="49">
        <f>BH36/BH43</f>
        <v>5.7603624672493386E-2</v>
      </c>
      <c r="BK36" s="31">
        <v>170000</v>
      </c>
      <c r="BL36" s="31">
        <f>BH36-BK36</f>
        <v>49900.25999999998</v>
      </c>
      <c r="BM36" s="33">
        <f>BL36/BK36</f>
        <v>0.29353094117647049</v>
      </c>
      <c r="BN36" s="26"/>
    </row>
    <row r="37" spans="1:66" ht="12.95" hidden="1">
      <c r="A37" s="34" t="s">
        <v>43</v>
      </c>
      <c r="B37" s="34">
        <v>0.6</v>
      </c>
      <c r="C37" s="51"/>
      <c r="D37" s="52" t="s">
        <v>65</v>
      </c>
      <c r="E37" s="97">
        <f t="shared" ref="E37:E38" si="57">E$36*$B37</f>
        <v>8717.2379999999994</v>
      </c>
      <c r="F37" s="90"/>
      <c r="G37" s="90"/>
      <c r="H37" s="91"/>
      <c r="I37" s="97">
        <f t="shared" ref="I37:I38" si="58">I$36*$B37</f>
        <v>6383.177999999999</v>
      </c>
      <c r="J37" s="90"/>
      <c r="K37" s="90"/>
      <c r="L37" s="90"/>
      <c r="M37" s="91"/>
      <c r="N37" s="97">
        <f t="shared" ref="N37:N38" si="59">N$36*$B37</f>
        <v>6920.0219999999999</v>
      </c>
      <c r="O37" s="90"/>
      <c r="P37" s="90"/>
      <c r="Q37" s="91"/>
      <c r="R37" s="97">
        <f t="shared" ref="R37:R38" si="60">R$36*$B37</f>
        <v>2662.3199999999997</v>
      </c>
      <c r="S37" s="90"/>
      <c r="T37" s="90"/>
      <c r="U37" s="90"/>
      <c r="V37" s="91"/>
      <c r="W37" s="97">
        <f t="shared" ref="W37:W38" si="61">W$36*$B37</f>
        <v>4791.6840000000002</v>
      </c>
      <c r="X37" s="90"/>
      <c r="Y37" s="90"/>
      <c r="Z37" s="91"/>
      <c r="AA37" s="97">
        <f t="shared" ref="AA37:AA38" si="62">AA$36*$B37</f>
        <v>22552.649999999998</v>
      </c>
      <c r="AB37" s="90"/>
      <c r="AC37" s="90"/>
      <c r="AD37" s="91"/>
      <c r="AE37" s="97">
        <f t="shared" ref="AE37:AE38" si="63">AE$36*$B37</f>
        <v>17065.121999999999</v>
      </c>
      <c r="AF37" s="90"/>
      <c r="AG37" s="90"/>
      <c r="AH37" s="91"/>
      <c r="AI37" s="97">
        <f t="shared" ref="AI37:AI38" si="64">AI$36*$B37</f>
        <v>13818.312</v>
      </c>
      <c r="AJ37" s="90"/>
      <c r="AK37" s="90"/>
      <c r="AL37" s="90"/>
      <c r="AM37" s="91"/>
      <c r="AN37" s="37"/>
      <c r="AO37" s="97">
        <f t="shared" ref="AO37:AO38" si="65">AO$36*$B37</f>
        <v>12821.7729375</v>
      </c>
      <c r="AP37" s="90"/>
      <c r="AQ37" s="90"/>
      <c r="AR37" s="91"/>
      <c r="AS37" s="97">
        <f t="shared" ref="AS37:AS38" si="66">AS$36*$B37</f>
        <v>7557.4679999999998</v>
      </c>
      <c r="AT37" s="90"/>
      <c r="AU37" s="90"/>
      <c r="AV37" s="91"/>
      <c r="AW37" s="37"/>
      <c r="AX37" s="97">
        <f t="shared" ref="AX37:AX38" si="67">AX$36*$B37</f>
        <v>7955.1311414999991</v>
      </c>
      <c r="AY37" s="90"/>
      <c r="AZ37" s="90"/>
      <c r="BA37" s="90"/>
      <c r="BB37" s="91"/>
      <c r="BC37" s="97">
        <f t="shared" ref="BC37:BC38" si="68">BC$36*$B37</f>
        <v>13196.532000000001</v>
      </c>
      <c r="BD37" s="90"/>
      <c r="BE37" s="90"/>
      <c r="BF37" s="91"/>
      <c r="BH37" s="37">
        <f t="shared" si="18"/>
        <v>124441.430079</v>
      </c>
      <c r="BI37" s="49"/>
      <c r="BK37" s="37"/>
      <c r="BL37" s="37"/>
      <c r="BM37" s="38"/>
      <c r="BN37" s="39"/>
    </row>
    <row r="38" spans="1:66" ht="12.95" hidden="1">
      <c r="A38" s="34" t="s">
        <v>44</v>
      </c>
      <c r="B38" s="34">
        <v>0.4</v>
      </c>
      <c r="C38" s="51"/>
      <c r="D38" s="52" t="s">
        <v>66</v>
      </c>
      <c r="E38" s="97">
        <f t="shared" si="57"/>
        <v>5811.4920000000002</v>
      </c>
      <c r="F38" s="90"/>
      <c r="G38" s="90"/>
      <c r="H38" s="91"/>
      <c r="I38" s="97">
        <f t="shared" si="58"/>
        <v>4255.4520000000002</v>
      </c>
      <c r="J38" s="90"/>
      <c r="K38" s="90"/>
      <c r="L38" s="90"/>
      <c r="M38" s="91"/>
      <c r="N38" s="97">
        <f t="shared" si="59"/>
        <v>4613.3480000000009</v>
      </c>
      <c r="O38" s="90"/>
      <c r="P38" s="90"/>
      <c r="Q38" s="91"/>
      <c r="R38" s="97">
        <f t="shared" si="60"/>
        <v>1774.88</v>
      </c>
      <c r="S38" s="90"/>
      <c r="T38" s="90"/>
      <c r="U38" s="90"/>
      <c r="V38" s="91"/>
      <c r="W38" s="97">
        <f t="shared" si="61"/>
        <v>3194.4560000000001</v>
      </c>
      <c r="X38" s="90"/>
      <c r="Y38" s="90"/>
      <c r="Z38" s="91"/>
      <c r="AA38" s="97">
        <f t="shared" si="62"/>
        <v>15035.1</v>
      </c>
      <c r="AB38" s="90"/>
      <c r="AC38" s="90"/>
      <c r="AD38" s="91"/>
      <c r="AE38" s="97">
        <f t="shared" si="63"/>
        <v>11376.748</v>
      </c>
      <c r="AF38" s="90"/>
      <c r="AG38" s="90"/>
      <c r="AH38" s="91"/>
      <c r="AI38" s="97">
        <f t="shared" si="64"/>
        <v>9212.2080000000005</v>
      </c>
      <c r="AJ38" s="90"/>
      <c r="AK38" s="90"/>
      <c r="AL38" s="90"/>
      <c r="AM38" s="91"/>
      <c r="AN38" s="37"/>
      <c r="AO38" s="97">
        <f t="shared" si="65"/>
        <v>8547.8486250000005</v>
      </c>
      <c r="AP38" s="90"/>
      <c r="AQ38" s="90"/>
      <c r="AR38" s="91"/>
      <c r="AS38" s="97">
        <f t="shared" si="66"/>
        <v>5038.3120000000008</v>
      </c>
      <c r="AT38" s="90"/>
      <c r="AU38" s="90"/>
      <c r="AV38" s="91"/>
      <c r="AW38" s="37"/>
      <c r="AX38" s="97">
        <f t="shared" si="67"/>
        <v>5303.4207610000003</v>
      </c>
      <c r="AY38" s="90"/>
      <c r="AZ38" s="90"/>
      <c r="BA38" s="90"/>
      <c r="BB38" s="91"/>
      <c r="BC38" s="97">
        <f t="shared" si="68"/>
        <v>8797.6880000000001</v>
      </c>
      <c r="BD38" s="90"/>
      <c r="BE38" s="90"/>
      <c r="BF38" s="91"/>
      <c r="BH38" s="37">
        <f t="shared" si="18"/>
        <v>82960.953385999994</v>
      </c>
      <c r="BI38" s="49"/>
      <c r="BK38" s="37"/>
      <c r="BL38" s="37"/>
      <c r="BM38" s="38"/>
      <c r="BN38" s="39"/>
    </row>
    <row r="39" spans="1:66" ht="14.1">
      <c r="A39" s="48"/>
      <c r="B39" s="48"/>
      <c r="C39" s="48"/>
      <c r="D39" s="29" t="s">
        <v>67</v>
      </c>
      <c r="E39" s="95">
        <v>8260.82</v>
      </c>
      <c r="F39" s="90"/>
      <c r="G39" s="90"/>
      <c r="H39" s="91"/>
      <c r="I39" s="95">
        <v>2498.62</v>
      </c>
      <c r="J39" s="90"/>
      <c r="K39" s="90"/>
      <c r="L39" s="90"/>
      <c r="M39" s="91"/>
      <c r="N39" s="95">
        <v>4016.59</v>
      </c>
      <c r="O39" s="90"/>
      <c r="P39" s="90"/>
      <c r="Q39" s="91"/>
      <c r="R39" s="95">
        <v>3822.74</v>
      </c>
      <c r="S39" s="90"/>
      <c r="T39" s="90"/>
      <c r="U39" s="90"/>
      <c r="V39" s="91"/>
      <c r="W39" s="95">
        <v>5345.65</v>
      </c>
      <c r="X39" s="90"/>
      <c r="Y39" s="90"/>
      <c r="Z39" s="91"/>
      <c r="AA39" s="95">
        <v>11473.62</v>
      </c>
      <c r="AB39" s="90"/>
      <c r="AC39" s="90"/>
      <c r="AD39" s="91"/>
      <c r="AE39" s="95">
        <v>9998.2999999999993</v>
      </c>
      <c r="AF39" s="90"/>
      <c r="AG39" s="90"/>
      <c r="AH39" s="91"/>
      <c r="AI39" s="95">
        <v>4669.1000000000004</v>
      </c>
      <c r="AJ39" s="90"/>
      <c r="AK39" s="90"/>
      <c r="AL39" s="90"/>
      <c r="AM39" s="91"/>
      <c r="AN39" s="96">
        <f>1837.1*1.08825</f>
        <v>1999.2240749999999</v>
      </c>
      <c r="AO39" s="95">
        <f>12464.79-AN39</f>
        <v>10465.565925000001</v>
      </c>
      <c r="AP39" s="90"/>
      <c r="AQ39" s="90"/>
      <c r="AR39" s="91"/>
      <c r="AS39" s="95">
        <v>4999.1499999999996</v>
      </c>
      <c r="AT39" s="90"/>
      <c r="AU39" s="90"/>
      <c r="AV39" s="91"/>
      <c r="AW39" s="96">
        <v>0</v>
      </c>
      <c r="AX39" s="95">
        <v>4712.8</v>
      </c>
      <c r="AY39" s="90"/>
      <c r="AZ39" s="90"/>
      <c r="BA39" s="90"/>
      <c r="BB39" s="91"/>
      <c r="BC39" s="95">
        <v>5274.62</v>
      </c>
      <c r="BD39" s="90"/>
      <c r="BE39" s="90"/>
      <c r="BF39" s="91"/>
      <c r="BG39" s="30"/>
      <c r="BH39" s="31">
        <f t="shared" si="18"/>
        <v>77536.799999999988</v>
      </c>
      <c r="BI39" s="49">
        <f>BH39/BH43</f>
        <v>2.0311029761884706E-2</v>
      </c>
      <c r="BK39" s="31">
        <v>50000</v>
      </c>
      <c r="BL39" s="31">
        <f t="shared" ref="BL39:BL41" si="69">BH39-BK39</f>
        <v>27536.799999999988</v>
      </c>
      <c r="BM39" s="33">
        <f t="shared" ref="BM39:BM41" si="70">BL39/BK39</f>
        <v>0.55073599999999978</v>
      </c>
      <c r="BN39" s="26"/>
    </row>
    <row r="40" spans="1:66" ht="14.1">
      <c r="A40" s="50"/>
      <c r="B40" s="50"/>
      <c r="C40" s="50"/>
      <c r="D40" s="29" t="s">
        <v>68</v>
      </c>
      <c r="E40" s="95">
        <v>0</v>
      </c>
      <c r="F40" s="90"/>
      <c r="G40" s="90"/>
      <c r="H40" s="91"/>
      <c r="I40" s="95">
        <v>0</v>
      </c>
      <c r="J40" s="90"/>
      <c r="K40" s="90"/>
      <c r="L40" s="90"/>
      <c r="M40" s="91"/>
      <c r="N40" s="95">
        <v>0</v>
      </c>
      <c r="O40" s="90"/>
      <c r="P40" s="90"/>
      <c r="Q40" s="91"/>
      <c r="R40" s="95">
        <v>0</v>
      </c>
      <c r="S40" s="90"/>
      <c r="T40" s="90"/>
      <c r="U40" s="90"/>
      <c r="V40" s="91"/>
      <c r="W40" s="95">
        <v>2122.09</v>
      </c>
      <c r="X40" s="90"/>
      <c r="Y40" s="90"/>
      <c r="Z40" s="91"/>
      <c r="AA40" s="95">
        <v>0</v>
      </c>
      <c r="AB40" s="90"/>
      <c r="AC40" s="90"/>
      <c r="AD40" s="91"/>
      <c r="AE40" s="95">
        <v>0</v>
      </c>
      <c r="AF40" s="90"/>
      <c r="AG40" s="90"/>
      <c r="AH40" s="91"/>
      <c r="AI40" s="95">
        <v>0</v>
      </c>
      <c r="AJ40" s="90"/>
      <c r="AK40" s="90"/>
      <c r="AL40" s="90"/>
      <c r="AM40" s="91"/>
      <c r="AN40" s="96">
        <v>0</v>
      </c>
      <c r="AO40" s="95">
        <v>0</v>
      </c>
      <c r="AP40" s="90"/>
      <c r="AQ40" s="90"/>
      <c r="AR40" s="91"/>
      <c r="AS40" s="95">
        <v>0</v>
      </c>
      <c r="AT40" s="90"/>
      <c r="AU40" s="90"/>
      <c r="AV40" s="91"/>
      <c r="AW40" s="96">
        <v>0</v>
      </c>
      <c r="AX40" s="95">
        <v>0</v>
      </c>
      <c r="AY40" s="90"/>
      <c r="AZ40" s="90"/>
      <c r="BA40" s="90"/>
      <c r="BB40" s="91"/>
      <c r="BC40" s="95">
        <v>0</v>
      </c>
      <c r="BD40" s="90"/>
      <c r="BE40" s="90"/>
      <c r="BF40" s="91"/>
      <c r="BG40" s="30"/>
      <c r="BH40" s="31">
        <f t="shared" si="18"/>
        <v>2122.09</v>
      </c>
      <c r="BI40" s="49">
        <f>0</f>
        <v>0</v>
      </c>
      <c r="BK40" s="31">
        <v>30000</v>
      </c>
      <c r="BL40" s="31">
        <f t="shared" si="69"/>
        <v>-27877.91</v>
      </c>
      <c r="BM40" s="33">
        <f t="shared" si="70"/>
        <v>-0.92926366666666671</v>
      </c>
      <c r="BN40" s="26"/>
    </row>
    <row r="41" spans="1:66" ht="32.25" customHeight="1">
      <c r="A41" s="43"/>
      <c r="B41" s="43"/>
      <c r="C41" s="43"/>
      <c r="D41" s="44" t="s">
        <v>69</v>
      </c>
      <c r="E41" s="98">
        <f>E40+E39+E36+E33+E30+E25+E24+E23</f>
        <v>66021.47</v>
      </c>
      <c r="F41" s="90"/>
      <c r="G41" s="90"/>
      <c r="H41" s="91"/>
      <c r="I41" s="98">
        <f>I40+I39+I36+I33+I30+I25+I24+I23</f>
        <v>56844.67</v>
      </c>
      <c r="J41" s="90"/>
      <c r="K41" s="90"/>
      <c r="L41" s="90"/>
      <c r="M41" s="91"/>
      <c r="N41" s="98">
        <f>N40+N39+N36+N33+N30+N25+N24+N23</f>
        <v>59411.06</v>
      </c>
      <c r="O41" s="90"/>
      <c r="P41" s="90"/>
      <c r="Q41" s="91"/>
      <c r="R41" s="98">
        <f>R40+R39+R36+R33+R30+R25+R24+R23</f>
        <v>109032.18</v>
      </c>
      <c r="S41" s="90"/>
      <c r="T41" s="90"/>
      <c r="U41" s="90"/>
      <c r="V41" s="91"/>
      <c r="W41" s="98">
        <f>W40+W39+W36+W33+W30+W25+W24+W23</f>
        <v>91948.81</v>
      </c>
      <c r="X41" s="90"/>
      <c r="Y41" s="90"/>
      <c r="Z41" s="91"/>
      <c r="AA41" s="98">
        <f>AA40+AA39+AA36+AA33+AA30+AA25+AA24+AA23</f>
        <v>223284.68000000002</v>
      </c>
      <c r="AB41" s="90"/>
      <c r="AC41" s="90"/>
      <c r="AD41" s="91"/>
      <c r="AE41" s="98">
        <f>AE40+AE39+AE36+AE33+AE30+AE25+AE24+AE23</f>
        <v>195358.63999999998</v>
      </c>
      <c r="AF41" s="90"/>
      <c r="AG41" s="90"/>
      <c r="AH41" s="91"/>
      <c r="AI41" s="98">
        <f>AI40+AI39+AI36+AI33+AI30+AI25+AI24+AI23</f>
        <v>96326.58</v>
      </c>
      <c r="AJ41" s="90"/>
      <c r="AK41" s="90"/>
      <c r="AL41" s="90"/>
      <c r="AM41" s="91"/>
      <c r="AN41" s="54">
        <f t="shared" ref="AN41:AO41" si="71">AN40+AN39+AN36+AN33+AN30+AN25+AN24+AN23</f>
        <v>16459.082512500001</v>
      </c>
      <c r="AO41" s="98">
        <f t="shared" si="71"/>
        <v>130721.3474875</v>
      </c>
      <c r="AP41" s="90"/>
      <c r="AQ41" s="90"/>
      <c r="AR41" s="91"/>
      <c r="AS41" s="98">
        <f>AS40+AS39+AS36+AS33+AS30+AS25+AS24+AS23</f>
        <v>70029.210000000006</v>
      </c>
      <c r="AT41" s="90"/>
      <c r="AU41" s="90"/>
      <c r="AV41" s="91"/>
      <c r="AW41" s="54">
        <f t="shared" ref="AW41:AX41" si="72">AW40+AW39+AW36+AW33+AW30+AW25+AW24+AW23</f>
        <v>14405.1780975</v>
      </c>
      <c r="AX41" s="98">
        <f t="shared" si="72"/>
        <v>100358.9119025</v>
      </c>
      <c r="AY41" s="90"/>
      <c r="AZ41" s="90"/>
      <c r="BA41" s="90"/>
      <c r="BB41" s="91"/>
      <c r="BC41" s="98">
        <f>BC40+BC39+BC36+BC33+BC30+BC25+BC24+BC23</f>
        <v>69375.87</v>
      </c>
      <c r="BD41" s="90"/>
      <c r="BE41" s="90"/>
      <c r="BF41" s="91"/>
      <c r="BG41" s="30"/>
      <c r="BH41" s="31">
        <f t="shared" si="18"/>
        <v>1299577.69</v>
      </c>
      <c r="BI41" s="32">
        <f>BH41/BH43</f>
        <v>0.34042881753530424</v>
      </c>
      <c r="BJ41" s="55"/>
      <c r="BK41" s="31">
        <f>BK40+BK39+BK36+BK33+BK30+BK25+BK24+BK23</f>
        <v>1239000</v>
      </c>
      <c r="BL41" s="31">
        <f t="shared" si="69"/>
        <v>60577.689999999944</v>
      </c>
      <c r="BM41" s="33">
        <f t="shared" si="70"/>
        <v>4.8892405165455968E-2</v>
      </c>
      <c r="BN41" s="26"/>
    </row>
    <row r="42" spans="1:66" ht="12.95">
      <c r="A42" s="56"/>
      <c r="B42" s="56"/>
      <c r="C42" s="56"/>
      <c r="D42" s="56"/>
      <c r="E42" s="57"/>
      <c r="BI42" s="55"/>
      <c r="BJ42" s="55"/>
      <c r="BK42" s="55"/>
      <c r="BL42" s="55"/>
      <c r="BM42" s="55"/>
      <c r="BN42" s="55"/>
    </row>
    <row r="43" spans="1:66" ht="32.25" customHeight="1">
      <c r="A43" s="43"/>
      <c r="B43" s="43"/>
      <c r="C43" s="43"/>
      <c r="D43" s="44" t="s">
        <v>70</v>
      </c>
      <c r="E43" s="98">
        <f>E41+E19</f>
        <v>66021.47</v>
      </c>
      <c r="F43" s="90"/>
      <c r="G43" s="90"/>
      <c r="H43" s="91"/>
      <c r="I43" s="98">
        <f>I41+I19</f>
        <v>56844.67</v>
      </c>
      <c r="J43" s="90"/>
      <c r="K43" s="90"/>
      <c r="L43" s="90"/>
      <c r="M43" s="91"/>
      <c r="N43" s="98">
        <f>N41+N19</f>
        <v>95152.36</v>
      </c>
      <c r="O43" s="90"/>
      <c r="P43" s="90"/>
      <c r="Q43" s="91"/>
      <c r="R43" s="98">
        <f>R41+R19</f>
        <v>332580.64</v>
      </c>
      <c r="S43" s="90"/>
      <c r="T43" s="90"/>
      <c r="U43" s="90"/>
      <c r="V43" s="91"/>
      <c r="W43" s="98">
        <f>W41+W19</f>
        <v>276014.81000000006</v>
      </c>
      <c r="X43" s="90"/>
      <c r="Y43" s="90"/>
      <c r="Z43" s="91"/>
      <c r="AA43" s="98">
        <f>AA41+AA19</f>
        <v>717737.45</v>
      </c>
      <c r="AB43" s="90"/>
      <c r="AC43" s="90"/>
      <c r="AD43" s="91"/>
      <c r="AE43" s="98">
        <f>AE41+AE19</f>
        <v>776787.92</v>
      </c>
      <c r="AF43" s="90"/>
      <c r="AG43" s="90"/>
      <c r="AH43" s="91"/>
      <c r="AI43" s="98">
        <f>AI41+AI19</f>
        <v>322646.64</v>
      </c>
      <c r="AJ43" s="90"/>
      <c r="AK43" s="90"/>
      <c r="AL43" s="90"/>
      <c r="AM43" s="91"/>
      <c r="AN43" s="54">
        <f t="shared" ref="AN43:AO43" si="73">AN41+AN19</f>
        <v>109939.4925125</v>
      </c>
      <c r="AO43" s="98">
        <f t="shared" si="73"/>
        <v>481947.88748749997</v>
      </c>
      <c r="AP43" s="90"/>
      <c r="AQ43" s="90"/>
      <c r="AR43" s="91"/>
      <c r="AS43" s="98">
        <f>AS41+AS19</f>
        <v>166502.54999999999</v>
      </c>
      <c r="AT43" s="90"/>
      <c r="AU43" s="90"/>
      <c r="AV43" s="91"/>
      <c r="AW43" s="54">
        <f t="shared" ref="AW43:AX43" si="74">AW41+AW19</f>
        <v>72466.338097500004</v>
      </c>
      <c r="AX43" s="98">
        <f t="shared" si="74"/>
        <v>207087.6919025</v>
      </c>
      <c r="AY43" s="90"/>
      <c r="AZ43" s="90"/>
      <c r="BA43" s="90"/>
      <c r="BB43" s="91"/>
      <c r="BC43" s="98">
        <f>BC41+BC19</f>
        <v>135742.70000000001</v>
      </c>
      <c r="BD43" s="90"/>
      <c r="BE43" s="90"/>
      <c r="BF43" s="91"/>
      <c r="BG43" s="30"/>
      <c r="BH43" s="31">
        <f t="shared" ref="BH43:BH45" si="75">SUM(E43:BF43)</f>
        <v>3817472.62</v>
      </c>
      <c r="BI43" s="55"/>
      <c r="BJ43" s="55"/>
      <c r="BK43" s="58">
        <f>BK41+BK19</f>
        <v>3749000</v>
      </c>
      <c r="BL43" s="31">
        <f>BH43-BK43</f>
        <v>68472.620000000112</v>
      </c>
      <c r="BM43" s="33">
        <f>BL43/BK43</f>
        <v>1.8264235796212353E-2</v>
      </c>
      <c r="BN43" s="26"/>
    </row>
    <row r="44" spans="1:66" ht="18">
      <c r="A44" s="12"/>
      <c r="B44" s="12"/>
      <c r="C44" s="12"/>
      <c r="D44" s="44" t="s">
        <v>71</v>
      </c>
      <c r="E44" s="98">
        <v>65000</v>
      </c>
      <c r="F44" s="90"/>
      <c r="G44" s="90"/>
      <c r="H44" s="91"/>
      <c r="I44" s="98">
        <v>52500</v>
      </c>
      <c r="J44" s="90"/>
      <c r="K44" s="90"/>
      <c r="L44" s="90"/>
      <c r="M44" s="91"/>
      <c r="N44" s="98">
        <v>112500</v>
      </c>
      <c r="O44" s="90"/>
      <c r="P44" s="90"/>
      <c r="Q44" s="91"/>
      <c r="R44" s="98">
        <v>345000</v>
      </c>
      <c r="S44" s="90"/>
      <c r="T44" s="90"/>
      <c r="U44" s="90"/>
      <c r="V44" s="91"/>
      <c r="W44" s="98">
        <v>295707.48</v>
      </c>
      <c r="X44" s="90"/>
      <c r="Y44" s="90"/>
      <c r="Z44" s="91"/>
      <c r="AA44" s="98">
        <v>685528.57000000007</v>
      </c>
      <c r="AB44" s="90"/>
      <c r="AC44" s="90"/>
      <c r="AD44" s="91"/>
      <c r="AE44" s="98">
        <v>760460</v>
      </c>
      <c r="AF44" s="90"/>
      <c r="AG44" s="90"/>
      <c r="AH44" s="91"/>
      <c r="AI44" s="98">
        <v>337600</v>
      </c>
      <c r="AJ44" s="90"/>
      <c r="AK44" s="90"/>
      <c r="AL44" s="90"/>
      <c r="AM44" s="91"/>
      <c r="AN44" s="54">
        <v>122000</v>
      </c>
      <c r="AO44" s="98">
        <v>546307.48</v>
      </c>
      <c r="AP44" s="90"/>
      <c r="AQ44" s="90"/>
      <c r="AR44" s="91"/>
      <c r="AS44" s="98">
        <v>158300</v>
      </c>
      <c r="AT44" s="90"/>
      <c r="AU44" s="90"/>
      <c r="AV44" s="91"/>
      <c r="AW44" s="54">
        <v>70001</v>
      </c>
      <c r="AX44" s="98">
        <v>247795.91999999998</v>
      </c>
      <c r="AY44" s="90"/>
      <c r="AZ44" s="90"/>
      <c r="BA44" s="90"/>
      <c r="BB44" s="91"/>
      <c r="BC44" s="98">
        <v>43000</v>
      </c>
      <c r="BD44" s="90"/>
      <c r="BE44" s="90"/>
      <c r="BF44" s="91"/>
      <c r="BG44" s="66"/>
      <c r="BH44" s="31">
        <f t="shared" si="75"/>
        <v>3841700.4499999997</v>
      </c>
      <c r="BI44" s="55"/>
      <c r="BJ44" s="55"/>
      <c r="BK44" s="55"/>
      <c r="BL44" s="55"/>
      <c r="BM44" s="55"/>
      <c r="BN44" s="55"/>
    </row>
    <row r="45" spans="1:66" ht="18">
      <c r="D45" s="44" t="s">
        <v>72</v>
      </c>
      <c r="E45" s="67">
        <f>E43-E44</f>
        <v>1021.4700000000012</v>
      </c>
      <c r="F45" s="90"/>
      <c r="G45" s="90"/>
      <c r="H45" s="91"/>
      <c r="I45" s="67">
        <f>I43-I44</f>
        <v>4344.6699999999983</v>
      </c>
      <c r="J45" s="90"/>
      <c r="K45" s="90"/>
      <c r="L45" s="90"/>
      <c r="M45" s="91"/>
      <c r="N45" s="67">
        <f>N43-N44</f>
        <v>-17347.64</v>
      </c>
      <c r="O45" s="90"/>
      <c r="P45" s="90"/>
      <c r="Q45" s="91"/>
      <c r="R45" s="67">
        <f>R43-R44</f>
        <v>-12419.359999999986</v>
      </c>
      <c r="S45" s="90"/>
      <c r="T45" s="90"/>
      <c r="U45" s="90"/>
      <c r="V45" s="91"/>
      <c r="W45" s="67">
        <f>W43-W44</f>
        <v>-19692.669999999925</v>
      </c>
      <c r="X45" s="90"/>
      <c r="Y45" s="90"/>
      <c r="Z45" s="91"/>
      <c r="AA45" s="67">
        <f>AA43-AA44</f>
        <v>32208.879999999888</v>
      </c>
      <c r="AB45" s="90"/>
      <c r="AC45" s="90"/>
      <c r="AD45" s="91"/>
      <c r="AE45" s="67">
        <f>AE43-AE44</f>
        <v>16327.920000000042</v>
      </c>
      <c r="AF45" s="90"/>
      <c r="AG45" s="90"/>
      <c r="AH45" s="91"/>
      <c r="AI45" s="67">
        <f>AI43-AI44</f>
        <v>-14953.359999999986</v>
      </c>
      <c r="AJ45" s="90"/>
      <c r="AK45" s="90"/>
      <c r="AL45" s="90"/>
      <c r="AM45" s="91"/>
      <c r="AN45" s="59">
        <f t="shared" ref="AN45:AO45" si="76">AN43-AN44</f>
        <v>-12060.507487499999</v>
      </c>
      <c r="AO45" s="67">
        <f t="shared" si="76"/>
        <v>-64359.592512500007</v>
      </c>
      <c r="AP45" s="90"/>
      <c r="AQ45" s="90"/>
      <c r="AR45" s="91"/>
      <c r="AS45" s="67">
        <f>AS43-AS44</f>
        <v>8202.5499999999884</v>
      </c>
      <c r="AT45" s="90"/>
      <c r="AU45" s="90"/>
      <c r="AV45" s="91"/>
      <c r="AW45" s="59">
        <f t="shared" ref="AW45:AX45" si="77">AW43-AW44</f>
        <v>2465.3380975000036</v>
      </c>
      <c r="AX45" s="67">
        <f t="shared" si="77"/>
        <v>-40708.228097499989</v>
      </c>
      <c r="AY45" s="90"/>
      <c r="AZ45" s="90"/>
      <c r="BA45" s="90"/>
      <c r="BB45" s="91"/>
      <c r="BC45" s="67">
        <f>BC43-BC44</f>
        <v>92742.700000000012</v>
      </c>
      <c r="BD45" s="90"/>
      <c r="BE45" s="90"/>
      <c r="BF45" s="91"/>
      <c r="BG45" s="60"/>
      <c r="BH45" s="61">
        <f t="shared" si="75"/>
        <v>-24227.829999999958</v>
      </c>
    </row>
    <row r="46" spans="1:66" ht="18">
      <c r="D46" s="44" t="s">
        <v>73</v>
      </c>
      <c r="E46" s="78">
        <f>E43/$BH$43</f>
        <v>1.7294549711793349E-2</v>
      </c>
      <c r="F46" s="90"/>
      <c r="G46" s="90"/>
      <c r="H46" s="91"/>
      <c r="I46" s="78">
        <f>I43/$BH$43</f>
        <v>1.4890655587727567E-2</v>
      </c>
      <c r="J46" s="90"/>
      <c r="K46" s="90"/>
      <c r="L46" s="90"/>
      <c r="M46" s="91"/>
      <c r="N46" s="78">
        <f>N43/$BH$43</f>
        <v>2.492548590957543E-2</v>
      </c>
      <c r="O46" s="90"/>
      <c r="P46" s="90"/>
      <c r="Q46" s="91"/>
      <c r="R46" s="78">
        <f>R43/$BH$43</f>
        <v>8.7120635327569168E-2</v>
      </c>
      <c r="S46" s="90"/>
      <c r="T46" s="90"/>
      <c r="U46" s="90"/>
      <c r="V46" s="91"/>
      <c r="W46" s="78">
        <f>W43/$BH$43</f>
        <v>7.2303022830848759E-2</v>
      </c>
      <c r="X46" s="90"/>
      <c r="Y46" s="90"/>
      <c r="Z46" s="91"/>
      <c r="AA46" s="78">
        <f>AA43/$BH$43</f>
        <v>0.18801377807917322</v>
      </c>
      <c r="AB46" s="90"/>
      <c r="AC46" s="90"/>
      <c r="AD46" s="91"/>
      <c r="AE46" s="78">
        <f>AE43/$BH$43</f>
        <v>0.20348225051578758</v>
      </c>
      <c r="AF46" s="90"/>
      <c r="AG46" s="90"/>
      <c r="AH46" s="91"/>
      <c r="AI46" s="78">
        <f>AI43/$BH$43</f>
        <v>8.4518390075578334E-2</v>
      </c>
      <c r="AJ46" s="90"/>
      <c r="AK46" s="90"/>
      <c r="AL46" s="90"/>
      <c r="AM46" s="91"/>
      <c r="AN46" s="79">
        <f>(AN43+AO43)/BH43</f>
        <v>0.15504692211780682</v>
      </c>
      <c r="AO46" s="90"/>
      <c r="AP46" s="90"/>
      <c r="AQ46" s="90"/>
      <c r="AR46" s="91"/>
      <c r="AS46" s="78">
        <f>AS43/$BH$43</f>
        <v>4.3615912037634992E-2</v>
      </c>
      <c r="AT46" s="90"/>
      <c r="AU46" s="90"/>
      <c r="AV46" s="91"/>
      <c r="AW46" s="79">
        <f>(AW43+AX43)/BH43</f>
        <v>7.3230133606040124E-2</v>
      </c>
      <c r="AX46" s="90"/>
      <c r="AY46" s="90"/>
      <c r="AZ46" s="90"/>
      <c r="BA46" s="90"/>
      <c r="BB46" s="91"/>
      <c r="BC46" s="78">
        <f>BC43/$BH$43</f>
        <v>3.5558264200464651E-2</v>
      </c>
      <c r="BD46" s="90"/>
      <c r="BE46" s="90"/>
      <c r="BF46" s="91"/>
      <c r="BG46" s="60"/>
      <c r="BH46" s="62"/>
    </row>
    <row r="48" spans="1:66" ht="18" hidden="1">
      <c r="D48" s="44" t="s">
        <v>74</v>
      </c>
      <c r="E48" s="67">
        <v>0</v>
      </c>
      <c r="F48" s="90"/>
      <c r="G48" s="90"/>
      <c r="H48" s="91"/>
      <c r="I48" s="67">
        <v>0</v>
      </c>
      <c r="J48" s="90"/>
      <c r="K48" s="90"/>
      <c r="L48" s="90"/>
      <c r="M48" s="91"/>
      <c r="N48" s="67">
        <v>0</v>
      </c>
      <c r="O48" s="90"/>
      <c r="P48" s="90"/>
      <c r="Q48" s="91"/>
      <c r="R48" s="73">
        <v>50000</v>
      </c>
      <c r="S48" s="90"/>
      <c r="T48" s="90"/>
      <c r="U48" s="90"/>
      <c r="V48" s="91"/>
      <c r="W48" s="67">
        <v>0</v>
      </c>
      <c r="X48" s="90"/>
      <c r="Y48" s="90"/>
      <c r="Z48" s="91"/>
      <c r="AA48" s="67">
        <v>0</v>
      </c>
      <c r="AB48" s="90"/>
      <c r="AC48" s="90"/>
      <c r="AD48" s="91"/>
      <c r="AE48" s="67">
        <v>75000</v>
      </c>
      <c r="AF48" s="90"/>
      <c r="AG48" s="90"/>
      <c r="AH48" s="91"/>
      <c r="AI48" s="67">
        <v>20000</v>
      </c>
      <c r="AJ48" s="90"/>
      <c r="AK48" s="90"/>
      <c r="AL48" s="90"/>
      <c r="AM48" s="91"/>
      <c r="AN48" s="59"/>
      <c r="AO48" s="67">
        <v>0</v>
      </c>
      <c r="AP48" s="90"/>
      <c r="AQ48" s="90"/>
      <c r="AR48" s="91"/>
      <c r="AS48" s="67">
        <v>0</v>
      </c>
      <c r="AT48" s="90"/>
      <c r="AU48" s="90"/>
      <c r="AV48" s="91"/>
      <c r="AW48" s="59"/>
      <c r="AX48" s="67">
        <v>60000</v>
      </c>
      <c r="AY48" s="90"/>
      <c r="AZ48" s="90"/>
      <c r="BA48" s="90"/>
      <c r="BB48" s="91"/>
      <c r="BC48" s="67">
        <v>0</v>
      </c>
      <c r="BD48" s="90"/>
      <c r="BE48" s="90"/>
      <c r="BF48" s="91"/>
      <c r="BH48" s="31">
        <f>SUM(E48:BF48)</f>
        <v>205000</v>
      </c>
    </row>
    <row r="49" spans="4:66" ht="12.95" hidden="1">
      <c r="R49" s="74" t="s">
        <v>75</v>
      </c>
      <c r="S49" s="90"/>
      <c r="T49" s="90"/>
      <c r="U49" s="90"/>
      <c r="V49" s="91"/>
      <c r="AE49" s="75" t="s">
        <v>76</v>
      </c>
      <c r="AF49" s="90"/>
      <c r="AG49" s="90"/>
      <c r="AH49" s="91"/>
      <c r="AI49" s="76" t="s">
        <v>77</v>
      </c>
      <c r="AJ49" s="90"/>
      <c r="AK49" s="90"/>
      <c r="AL49" s="90"/>
      <c r="AM49" s="91"/>
      <c r="AX49" s="77" t="s">
        <v>78</v>
      </c>
      <c r="AY49" s="90"/>
      <c r="AZ49" s="90"/>
      <c r="BA49" s="90"/>
      <c r="BB49" s="91"/>
    </row>
    <row r="50" spans="4:66" ht="12.95" hidden="1">
      <c r="AG50" s="71" t="s">
        <v>79</v>
      </c>
      <c r="AH50" s="90"/>
      <c r="AI50" s="90"/>
      <c r="AJ50" s="90"/>
      <c r="AK50" s="91"/>
    </row>
    <row r="51" spans="4:66" ht="12.95" hidden="1">
      <c r="AG51" s="72" t="s">
        <v>80</v>
      </c>
      <c r="AH51" s="90"/>
      <c r="AI51" s="90"/>
      <c r="AJ51" s="90"/>
      <c r="AK51" s="91"/>
    </row>
    <row r="52" spans="4:66" ht="18">
      <c r="D52" s="69" t="s">
        <v>81</v>
      </c>
      <c r="E52" s="18"/>
      <c r="F52" s="18"/>
      <c r="G52" s="18"/>
      <c r="H52" s="18"/>
    </row>
    <row r="53" spans="4:66" ht="12.95">
      <c r="D53" s="100"/>
      <c r="E53" s="70"/>
      <c r="F53" s="89"/>
      <c r="G53" s="89"/>
      <c r="H53" s="89"/>
      <c r="I53" s="70"/>
      <c r="J53" s="89"/>
      <c r="K53" s="89"/>
      <c r="L53" s="89"/>
      <c r="M53" s="70"/>
      <c r="N53" s="89"/>
      <c r="O53" s="89"/>
      <c r="P53" s="89"/>
    </row>
    <row r="54" spans="4:66" ht="14.1">
      <c r="D54" s="53" t="s">
        <v>82</v>
      </c>
      <c r="E54" s="95">
        <v>0</v>
      </c>
      <c r="F54" s="90"/>
      <c r="G54" s="90"/>
      <c r="H54" s="91"/>
      <c r="I54" s="95">
        <v>0</v>
      </c>
      <c r="J54" s="90"/>
      <c r="K54" s="90"/>
      <c r="L54" s="90"/>
      <c r="M54" s="91"/>
      <c r="N54" s="95">
        <v>152500</v>
      </c>
      <c r="O54" s="90"/>
      <c r="P54" s="90"/>
      <c r="Q54" s="91"/>
      <c r="R54" s="95">
        <v>6820</v>
      </c>
      <c r="S54" s="90"/>
      <c r="T54" s="90"/>
      <c r="U54" s="90"/>
      <c r="V54" s="91"/>
      <c r="W54" s="95">
        <v>0</v>
      </c>
      <c r="X54" s="90"/>
      <c r="Y54" s="90"/>
      <c r="Z54" s="91"/>
      <c r="AA54" s="95">
        <v>0</v>
      </c>
      <c r="AB54" s="90"/>
      <c r="AC54" s="90"/>
      <c r="AD54" s="91"/>
      <c r="AE54" s="95">
        <v>25955</v>
      </c>
      <c r="AF54" s="90"/>
      <c r="AG54" s="90"/>
      <c r="AH54" s="91"/>
      <c r="AI54" s="95">
        <v>0</v>
      </c>
      <c r="AJ54" s="90"/>
      <c r="AK54" s="90"/>
      <c r="AL54" s="90"/>
      <c r="AM54" s="91"/>
      <c r="AN54" s="95">
        <v>18200</v>
      </c>
      <c r="AO54" s="90"/>
      <c r="AP54" s="90"/>
      <c r="AQ54" s="90"/>
      <c r="AR54" s="91"/>
      <c r="AS54" s="95">
        <v>0</v>
      </c>
      <c r="AT54" s="90"/>
      <c r="AU54" s="90"/>
      <c r="AV54" s="91"/>
      <c r="AW54" s="95">
        <v>13200</v>
      </c>
      <c r="AX54" s="90"/>
      <c r="AY54" s="90"/>
      <c r="AZ54" s="90"/>
      <c r="BA54" s="90"/>
      <c r="BB54" s="91"/>
      <c r="BC54" s="95">
        <v>0</v>
      </c>
      <c r="BD54" s="90"/>
      <c r="BE54" s="90"/>
      <c r="BF54" s="91"/>
      <c r="BH54" s="31">
        <f t="shared" ref="BH54:BH61" si="78">SUM(E54:BF54)</f>
        <v>216675</v>
      </c>
      <c r="BI54" s="22"/>
      <c r="BJ54" s="22"/>
      <c r="BK54" s="96">
        <v>185000</v>
      </c>
      <c r="BL54" s="96">
        <f t="shared" ref="BL54:BL61" si="79">BH54-BK54</f>
        <v>31675</v>
      </c>
      <c r="BM54" s="33">
        <f t="shared" ref="BM54:BM61" si="80">BL54/BK54</f>
        <v>0.17121621621621622</v>
      </c>
      <c r="BN54" s="22"/>
    </row>
    <row r="55" spans="4:66" ht="14.1">
      <c r="D55" s="29" t="s">
        <v>83</v>
      </c>
      <c r="E55" s="95">
        <v>0</v>
      </c>
      <c r="F55" s="90"/>
      <c r="G55" s="90"/>
      <c r="H55" s="91"/>
      <c r="I55" s="95">
        <v>0</v>
      </c>
      <c r="J55" s="90"/>
      <c r="K55" s="90"/>
      <c r="L55" s="90"/>
      <c r="M55" s="91"/>
      <c r="N55" s="95">
        <v>2790</v>
      </c>
      <c r="O55" s="90"/>
      <c r="P55" s="90"/>
      <c r="Q55" s="91"/>
      <c r="R55" s="95">
        <v>3890</v>
      </c>
      <c r="S55" s="90"/>
      <c r="T55" s="90"/>
      <c r="U55" s="90"/>
      <c r="V55" s="91"/>
      <c r="W55" s="95">
        <v>0</v>
      </c>
      <c r="X55" s="90"/>
      <c r="Y55" s="90"/>
      <c r="Z55" s="91"/>
      <c r="AA55" s="95">
        <v>5320</v>
      </c>
      <c r="AB55" s="90"/>
      <c r="AC55" s="90"/>
      <c r="AD55" s="91"/>
      <c r="AE55" s="95">
        <v>9940</v>
      </c>
      <c r="AF55" s="90"/>
      <c r="AG55" s="90"/>
      <c r="AH55" s="91"/>
      <c r="AI55" s="95">
        <v>0</v>
      </c>
      <c r="AJ55" s="90"/>
      <c r="AK55" s="90"/>
      <c r="AL55" s="90"/>
      <c r="AM55" s="91"/>
      <c r="AN55" s="95">
        <v>6005</v>
      </c>
      <c r="AO55" s="90"/>
      <c r="AP55" s="90"/>
      <c r="AQ55" s="90"/>
      <c r="AR55" s="91"/>
      <c r="AS55" s="95">
        <v>2630</v>
      </c>
      <c r="AT55" s="90"/>
      <c r="AU55" s="90"/>
      <c r="AV55" s="91"/>
      <c r="AW55" s="95">
        <v>1800</v>
      </c>
      <c r="AX55" s="90"/>
      <c r="AY55" s="90"/>
      <c r="AZ55" s="90"/>
      <c r="BA55" s="90"/>
      <c r="BB55" s="91"/>
      <c r="BC55" s="95">
        <v>0</v>
      </c>
      <c r="BD55" s="90"/>
      <c r="BE55" s="90"/>
      <c r="BF55" s="91"/>
      <c r="BH55" s="31">
        <f t="shared" si="78"/>
        <v>32375</v>
      </c>
      <c r="BI55" s="22"/>
      <c r="BJ55" s="22"/>
      <c r="BK55" s="96">
        <v>30000</v>
      </c>
      <c r="BL55" s="96">
        <f t="shared" si="79"/>
        <v>2375</v>
      </c>
      <c r="BM55" s="33">
        <f t="shared" si="80"/>
        <v>7.9166666666666663E-2</v>
      </c>
      <c r="BN55" s="22"/>
    </row>
    <row r="56" spans="4:66" ht="14.1">
      <c r="D56" s="29" t="s">
        <v>84</v>
      </c>
      <c r="E56" s="95">
        <v>0</v>
      </c>
      <c r="F56" s="90"/>
      <c r="G56" s="90"/>
      <c r="H56" s="91"/>
      <c r="I56" s="95">
        <v>0</v>
      </c>
      <c r="J56" s="90"/>
      <c r="K56" s="90"/>
      <c r="L56" s="90"/>
      <c r="M56" s="91"/>
      <c r="N56" s="95">
        <v>0</v>
      </c>
      <c r="O56" s="90"/>
      <c r="P56" s="90"/>
      <c r="Q56" s="91"/>
      <c r="R56" s="95">
        <v>2300</v>
      </c>
      <c r="S56" s="90"/>
      <c r="T56" s="90"/>
      <c r="U56" s="90"/>
      <c r="V56" s="91"/>
      <c r="W56" s="95">
        <v>0</v>
      </c>
      <c r="X56" s="90"/>
      <c r="Y56" s="90"/>
      <c r="Z56" s="91"/>
      <c r="AA56" s="95">
        <v>4700</v>
      </c>
      <c r="AB56" s="90"/>
      <c r="AC56" s="90"/>
      <c r="AD56" s="91"/>
      <c r="AE56" s="95">
        <v>2550</v>
      </c>
      <c r="AF56" s="90"/>
      <c r="AG56" s="90"/>
      <c r="AH56" s="91"/>
      <c r="AI56" s="95">
        <v>0</v>
      </c>
      <c r="AJ56" s="90"/>
      <c r="AK56" s="90"/>
      <c r="AL56" s="90"/>
      <c r="AM56" s="91"/>
      <c r="AN56" s="95">
        <v>13120</v>
      </c>
      <c r="AO56" s="90"/>
      <c r="AP56" s="90"/>
      <c r="AQ56" s="90"/>
      <c r="AR56" s="91"/>
      <c r="AS56" s="95">
        <v>0</v>
      </c>
      <c r="AT56" s="90"/>
      <c r="AU56" s="90"/>
      <c r="AV56" s="91"/>
      <c r="AW56" s="95">
        <f>53820+19900</f>
        <v>73720</v>
      </c>
      <c r="AX56" s="90"/>
      <c r="AY56" s="90"/>
      <c r="AZ56" s="90"/>
      <c r="BA56" s="90"/>
      <c r="BB56" s="91"/>
      <c r="BC56" s="95">
        <v>0</v>
      </c>
      <c r="BD56" s="90"/>
      <c r="BE56" s="90"/>
      <c r="BF56" s="91"/>
      <c r="BH56" s="31">
        <f t="shared" si="78"/>
        <v>96390</v>
      </c>
      <c r="BI56" s="22"/>
      <c r="BJ56" s="22"/>
      <c r="BK56" s="96">
        <v>100000</v>
      </c>
      <c r="BL56" s="96">
        <f t="shared" si="79"/>
        <v>-3610</v>
      </c>
      <c r="BM56" s="33">
        <f t="shared" si="80"/>
        <v>-3.61E-2</v>
      </c>
      <c r="BN56" s="22"/>
    </row>
    <row r="57" spans="4:66" ht="14.1">
      <c r="D57" s="29" t="s">
        <v>85</v>
      </c>
      <c r="E57" s="95">
        <v>0</v>
      </c>
      <c r="F57" s="90"/>
      <c r="G57" s="90"/>
      <c r="H57" s="91"/>
      <c r="I57" s="95">
        <v>0</v>
      </c>
      <c r="J57" s="90"/>
      <c r="K57" s="90"/>
      <c r="L57" s="90"/>
      <c r="M57" s="91"/>
      <c r="N57" s="95">
        <v>7075.97</v>
      </c>
      <c r="O57" s="90"/>
      <c r="P57" s="90"/>
      <c r="Q57" s="91"/>
      <c r="R57" s="95">
        <v>3846.68</v>
      </c>
      <c r="S57" s="90"/>
      <c r="T57" s="90"/>
      <c r="U57" s="90"/>
      <c r="V57" s="91"/>
      <c r="W57" s="95">
        <v>48517.02</v>
      </c>
      <c r="X57" s="90"/>
      <c r="Y57" s="90"/>
      <c r="Z57" s="91"/>
      <c r="AA57" s="95">
        <v>0</v>
      </c>
      <c r="AB57" s="90"/>
      <c r="AC57" s="90"/>
      <c r="AD57" s="91"/>
      <c r="AE57" s="95">
        <v>7804.88</v>
      </c>
      <c r="AF57" s="90"/>
      <c r="AG57" s="90"/>
      <c r="AH57" s="91"/>
      <c r="AI57" s="95">
        <v>0</v>
      </c>
      <c r="AJ57" s="90"/>
      <c r="AK57" s="90"/>
      <c r="AL57" s="90"/>
      <c r="AM57" s="91"/>
      <c r="AN57" s="101">
        <v>3876.64</v>
      </c>
      <c r="AO57" s="89"/>
      <c r="AP57" s="89"/>
      <c r="AQ57" s="89"/>
      <c r="AR57" s="89"/>
      <c r="AS57" s="95">
        <v>0</v>
      </c>
      <c r="AT57" s="90"/>
      <c r="AU57" s="90"/>
      <c r="AV57" s="91"/>
      <c r="AW57" s="95">
        <v>3876.64</v>
      </c>
      <c r="AX57" s="90"/>
      <c r="AY57" s="90"/>
      <c r="AZ57" s="90"/>
      <c r="BA57" s="90"/>
      <c r="BB57" s="91"/>
      <c r="BC57" s="95">
        <v>0</v>
      </c>
      <c r="BD57" s="90"/>
      <c r="BE57" s="90"/>
      <c r="BF57" s="91"/>
      <c r="BH57" s="31">
        <f t="shared" si="78"/>
        <v>74997.83</v>
      </c>
      <c r="BI57" s="22"/>
      <c r="BJ57" s="22"/>
      <c r="BK57" s="96">
        <v>110000</v>
      </c>
      <c r="BL57" s="96">
        <f t="shared" si="79"/>
        <v>-35002.17</v>
      </c>
      <c r="BM57" s="33">
        <f t="shared" si="80"/>
        <v>-0.31820154545454543</v>
      </c>
      <c r="BN57" s="22"/>
    </row>
    <row r="58" spans="4:66" ht="14.1">
      <c r="D58" s="29" t="s">
        <v>86</v>
      </c>
      <c r="E58" s="95">
        <v>0</v>
      </c>
      <c r="F58" s="90"/>
      <c r="G58" s="90"/>
      <c r="H58" s="91"/>
      <c r="I58" s="95">
        <v>0</v>
      </c>
      <c r="J58" s="90"/>
      <c r="K58" s="90"/>
      <c r="L58" s="90"/>
      <c r="M58" s="91"/>
      <c r="N58" s="95">
        <v>639.72</v>
      </c>
      <c r="O58" s="90"/>
      <c r="P58" s="90"/>
      <c r="Q58" s="91"/>
      <c r="R58" s="95">
        <v>2032.57</v>
      </c>
      <c r="S58" s="90"/>
      <c r="T58" s="90"/>
      <c r="U58" s="90"/>
      <c r="V58" s="91"/>
      <c r="W58" s="95">
        <v>0</v>
      </c>
      <c r="X58" s="90"/>
      <c r="Y58" s="90"/>
      <c r="Z58" s="91"/>
      <c r="AA58" s="95">
        <v>3271.46</v>
      </c>
      <c r="AB58" s="90"/>
      <c r="AC58" s="90"/>
      <c r="AD58" s="91"/>
      <c r="AE58" s="95">
        <v>9061.1299999999992</v>
      </c>
      <c r="AF58" s="90"/>
      <c r="AG58" s="90"/>
      <c r="AH58" s="91"/>
      <c r="AI58" s="95">
        <v>0</v>
      </c>
      <c r="AJ58" s="90"/>
      <c r="AK58" s="90"/>
      <c r="AL58" s="90"/>
      <c r="AM58" s="91"/>
      <c r="AN58" s="95">
        <v>4235.8900000000003</v>
      </c>
      <c r="AO58" s="90"/>
      <c r="AP58" s="90"/>
      <c r="AQ58" s="90"/>
      <c r="AR58" s="91"/>
      <c r="AS58" s="95">
        <v>1576.01</v>
      </c>
      <c r="AT58" s="90"/>
      <c r="AU58" s="90"/>
      <c r="AV58" s="91"/>
      <c r="AW58" s="95">
        <v>503.32</v>
      </c>
      <c r="AX58" s="90"/>
      <c r="AY58" s="90"/>
      <c r="AZ58" s="90"/>
      <c r="BA58" s="90"/>
      <c r="BB58" s="91"/>
      <c r="BC58" s="95">
        <v>0</v>
      </c>
      <c r="BD58" s="90"/>
      <c r="BE58" s="90"/>
      <c r="BF58" s="91"/>
      <c r="BH58" s="31">
        <f t="shared" si="78"/>
        <v>21320.1</v>
      </c>
      <c r="BI58" s="22"/>
      <c r="BJ58" s="22"/>
      <c r="BK58" s="96">
        <v>25000</v>
      </c>
      <c r="BL58" s="96">
        <f t="shared" si="79"/>
        <v>-3679.9000000000015</v>
      </c>
      <c r="BM58" s="33">
        <f t="shared" si="80"/>
        <v>-0.14719600000000005</v>
      </c>
      <c r="BN58" s="22"/>
    </row>
    <row r="59" spans="4:66" ht="14.1">
      <c r="D59" s="29" t="s">
        <v>87</v>
      </c>
      <c r="E59" s="95">
        <v>0</v>
      </c>
      <c r="F59" s="90"/>
      <c r="G59" s="90"/>
      <c r="H59" s="91"/>
      <c r="I59" s="95">
        <v>0</v>
      </c>
      <c r="J59" s="90"/>
      <c r="K59" s="90"/>
      <c r="L59" s="90"/>
      <c r="M59" s="91"/>
      <c r="N59" s="95">
        <v>0</v>
      </c>
      <c r="O59" s="90"/>
      <c r="P59" s="90"/>
      <c r="Q59" s="91"/>
      <c r="R59" s="95">
        <v>674.8</v>
      </c>
      <c r="S59" s="90"/>
      <c r="T59" s="90"/>
      <c r="U59" s="90"/>
      <c r="V59" s="91"/>
      <c r="W59" s="95">
        <v>967.4</v>
      </c>
      <c r="X59" s="90"/>
      <c r="Y59" s="90"/>
      <c r="Z59" s="91"/>
      <c r="AA59" s="95">
        <v>1385.45</v>
      </c>
      <c r="AB59" s="90"/>
      <c r="AC59" s="90"/>
      <c r="AD59" s="91"/>
      <c r="AE59" s="95">
        <v>3533.6</v>
      </c>
      <c r="AF59" s="90"/>
      <c r="AG59" s="90"/>
      <c r="AH59" s="91"/>
      <c r="AI59" s="95">
        <v>967.4</v>
      </c>
      <c r="AJ59" s="90"/>
      <c r="AK59" s="90"/>
      <c r="AL59" s="90"/>
      <c r="AM59" s="91"/>
      <c r="AN59" s="95">
        <v>3514.7</v>
      </c>
      <c r="AO59" s="90"/>
      <c r="AP59" s="90"/>
      <c r="AQ59" s="90"/>
      <c r="AR59" s="91"/>
      <c r="AS59" s="95">
        <v>0</v>
      </c>
      <c r="AT59" s="90"/>
      <c r="AU59" s="90"/>
      <c r="AV59" s="91"/>
      <c r="AW59" s="95">
        <v>1698.2</v>
      </c>
      <c r="AX59" s="90"/>
      <c r="AY59" s="90"/>
      <c r="AZ59" s="90"/>
      <c r="BA59" s="90"/>
      <c r="BB59" s="91"/>
      <c r="BC59" s="95">
        <v>0</v>
      </c>
      <c r="BD59" s="90"/>
      <c r="BE59" s="90"/>
      <c r="BF59" s="91"/>
      <c r="BH59" s="31">
        <f t="shared" si="78"/>
        <v>12741.55</v>
      </c>
      <c r="BI59" s="22"/>
      <c r="BJ59" s="22"/>
      <c r="BK59" s="96">
        <v>25000</v>
      </c>
      <c r="BL59" s="96">
        <f t="shared" si="79"/>
        <v>-12258.45</v>
      </c>
      <c r="BM59" s="33">
        <f t="shared" si="80"/>
        <v>-0.49033800000000005</v>
      </c>
      <c r="BN59" s="22"/>
    </row>
    <row r="60" spans="4:66" ht="14.1">
      <c r="D60" s="42" t="s">
        <v>88</v>
      </c>
      <c r="E60" s="95">
        <v>19125</v>
      </c>
      <c r="F60" s="90"/>
      <c r="G60" s="90"/>
      <c r="H60" s="91"/>
      <c r="I60" s="95">
        <v>19507.5</v>
      </c>
      <c r="J60" s="90"/>
      <c r="K60" s="90"/>
      <c r="L60" s="90"/>
      <c r="M60" s="91"/>
      <c r="N60" s="95">
        <v>19507.5</v>
      </c>
      <c r="O60" s="90"/>
      <c r="P60" s="90"/>
      <c r="Q60" s="91"/>
      <c r="R60" s="95">
        <v>19507.5</v>
      </c>
      <c r="S60" s="90"/>
      <c r="T60" s="90"/>
      <c r="U60" s="90"/>
      <c r="V60" s="91"/>
      <c r="W60" s="95">
        <v>19507.5</v>
      </c>
      <c r="X60" s="90"/>
      <c r="Y60" s="90"/>
      <c r="Z60" s="91"/>
      <c r="AA60" s="95">
        <v>19507.5</v>
      </c>
      <c r="AB60" s="90"/>
      <c r="AC60" s="90"/>
      <c r="AD60" s="91"/>
      <c r="AE60" s="95">
        <v>19507.5</v>
      </c>
      <c r="AF60" s="90"/>
      <c r="AG60" s="90"/>
      <c r="AH60" s="91"/>
      <c r="AI60" s="95">
        <v>19507.5</v>
      </c>
      <c r="AJ60" s="90"/>
      <c r="AK60" s="90"/>
      <c r="AL60" s="90"/>
      <c r="AM60" s="91"/>
      <c r="AN60" s="95">
        <v>19507.5</v>
      </c>
      <c r="AO60" s="90"/>
      <c r="AP60" s="90"/>
      <c r="AQ60" s="90"/>
      <c r="AR60" s="91"/>
      <c r="AS60" s="95">
        <v>19507.5</v>
      </c>
      <c r="AT60" s="90"/>
      <c r="AU60" s="90"/>
      <c r="AV60" s="91"/>
      <c r="AW60" s="95">
        <v>19507.5</v>
      </c>
      <c r="AX60" s="90"/>
      <c r="AY60" s="90"/>
      <c r="AZ60" s="90"/>
      <c r="BA60" s="90"/>
      <c r="BB60" s="91"/>
      <c r="BC60" s="95">
        <v>19507.5</v>
      </c>
      <c r="BD60" s="90"/>
      <c r="BE60" s="90"/>
      <c r="BF60" s="91"/>
      <c r="BH60" s="31">
        <f t="shared" si="78"/>
        <v>233707.5</v>
      </c>
      <c r="BI60" s="22"/>
      <c r="BJ60" s="22"/>
      <c r="BK60" s="96">
        <v>230625</v>
      </c>
      <c r="BL60" s="96">
        <f t="shared" si="79"/>
        <v>3082.5</v>
      </c>
      <c r="BM60" s="33">
        <f t="shared" si="80"/>
        <v>1.3365853658536585E-2</v>
      </c>
      <c r="BN60" s="22"/>
    </row>
    <row r="61" spans="4:66" ht="18">
      <c r="D61" s="44" t="s">
        <v>89</v>
      </c>
      <c r="E61" s="68">
        <f>SUM(E54:E60)</f>
        <v>19125</v>
      </c>
      <c r="F61" s="90"/>
      <c r="G61" s="90"/>
      <c r="H61" s="91"/>
      <c r="I61" s="68">
        <f>SUM(I54:I60)</f>
        <v>19507.5</v>
      </c>
      <c r="J61" s="90"/>
      <c r="K61" s="90"/>
      <c r="L61" s="90"/>
      <c r="M61" s="91"/>
      <c r="N61" s="68">
        <f>SUM(N54:N60)</f>
        <v>182513.19</v>
      </c>
      <c r="O61" s="90"/>
      <c r="P61" s="90"/>
      <c r="Q61" s="91"/>
      <c r="R61" s="68">
        <f>SUM(R54:R60)</f>
        <v>39071.550000000003</v>
      </c>
      <c r="S61" s="90"/>
      <c r="T61" s="90"/>
      <c r="U61" s="90"/>
      <c r="V61" s="91"/>
      <c r="W61" s="68">
        <f>SUM(W54:W60)</f>
        <v>68991.92</v>
      </c>
      <c r="X61" s="90"/>
      <c r="Y61" s="90"/>
      <c r="Z61" s="91"/>
      <c r="AA61" s="68">
        <f>SUM(AA54:AA60)</f>
        <v>34184.410000000003</v>
      </c>
      <c r="AB61" s="90"/>
      <c r="AC61" s="90"/>
      <c r="AD61" s="91"/>
      <c r="AE61" s="68">
        <f>SUM(AE54:AE60)</f>
        <v>78352.109999999986</v>
      </c>
      <c r="AF61" s="90"/>
      <c r="AG61" s="90"/>
      <c r="AH61" s="91"/>
      <c r="AI61" s="68">
        <f>SUM(AI54:AI60)</f>
        <v>20474.900000000001</v>
      </c>
      <c r="AJ61" s="90"/>
      <c r="AK61" s="90"/>
      <c r="AL61" s="90"/>
      <c r="AM61" s="91"/>
      <c r="AN61" s="68">
        <f>SUM(AN54:AN60)</f>
        <v>68459.73</v>
      </c>
      <c r="AO61" s="90"/>
      <c r="AP61" s="90"/>
      <c r="AQ61" s="90"/>
      <c r="AR61" s="91"/>
      <c r="AS61" s="68">
        <f>SUM(AS54:AS60)</f>
        <v>23713.510000000002</v>
      </c>
      <c r="AT61" s="90"/>
      <c r="AU61" s="90"/>
      <c r="AV61" s="91"/>
      <c r="AW61" s="68">
        <f>SUM(AW54:AW60)</f>
        <v>114305.66</v>
      </c>
      <c r="AX61" s="90"/>
      <c r="AY61" s="90"/>
      <c r="AZ61" s="90"/>
      <c r="BA61" s="90"/>
      <c r="BB61" s="91"/>
      <c r="BC61" s="68">
        <f>SUM(BC54:BC60)</f>
        <v>19507.5</v>
      </c>
      <c r="BD61" s="90"/>
      <c r="BE61" s="90"/>
      <c r="BF61" s="91"/>
      <c r="BH61" s="31">
        <f t="shared" si="78"/>
        <v>688206.98</v>
      </c>
      <c r="BI61" s="63"/>
      <c r="BJ61" s="63"/>
      <c r="BK61" s="54">
        <f>BK60+BK59+BK58+BK57+BK56+BK55+BK54</f>
        <v>705625</v>
      </c>
      <c r="BL61" s="96">
        <f t="shared" si="79"/>
        <v>-17418.020000000019</v>
      </c>
      <c r="BM61" s="33">
        <f t="shared" si="80"/>
        <v>-2.4684527900797192E-2</v>
      </c>
      <c r="BN61" s="63"/>
    </row>
    <row r="64" spans="4:66" ht="18">
      <c r="D64" s="44" t="s">
        <v>90</v>
      </c>
      <c r="E64" s="68">
        <f>E61+E43</f>
        <v>85146.47</v>
      </c>
      <c r="F64" s="90"/>
      <c r="G64" s="90"/>
      <c r="H64" s="91"/>
      <c r="I64" s="68">
        <f>I61+I43</f>
        <v>76352.17</v>
      </c>
      <c r="J64" s="90"/>
      <c r="K64" s="90"/>
      <c r="L64" s="90"/>
      <c r="M64" s="91"/>
      <c r="N64" s="68">
        <f>N61+N43</f>
        <v>277665.55</v>
      </c>
      <c r="O64" s="90"/>
      <c r="P64" s="90"/>
      <c r="Q64" s="91"/>
      <c r="R64" s="68">
        <f>R61+R43</f>
        <v>371652.19</v>
      </c>
      <c r="S64" s="90"/>
      <c r="T64" s="90"/>
      <c r="U64" s="90"/>
      <c r="V64" s="91"/>
      <c r="W64" s="68">
        <f>W61+W43</f>
        <v>345006.73000000004</v>
      </c>
      <c r="X64" s="90"/>
      <c r="Y64" s="90"/>
      <c r="Z64" s="91"/>
      <c r="AA64" s="68">
        <f>AA61+AA43</f>
        <v>751921.86</v>
      </c>
      <c r="AB64" s="90"/>
      <c r="AC64" s="90"/>
      <c r="AD64" s="91"/>
      <c r="AE64" s="68">
        <f>AE61+AE43</f>
        <v>855140.03</v>
      </c>
      <c r="AF64" s="90"/>
      <c r="AG64" s="90"/>
      <c r="AH64" s="91"/>
      <c r="AI64" s="68">
        <f>AI61+AI43</f>
        <v>343121.54000000004</v>
      </c>
      <c r="AJ64" s="90"/>
      <c r="AK64" s="90"/>
      <c r="AL64" s="90"/>
      <c r="AM64" s="91"/>
      <c r="AN64" s="68">
        <f>AN61+AO43+AN43</f>
        <v>660347.11</v>
      </c>
      <c r="AO64" s="90"/>
      <c r="AP64" s="90"/>
      <c r="AQ64" s="90"/>
      <c r="AR64" s="91"/>
      <c r="AS64" s="68">
        <f>AS61+AS43</f>
        <v>190216.06</v>
      </c>
      <c r="AT64" s="90"/>
      <c r="AU64" s="90"/>
      <c r="AV64" s="91"/>
      <c r="AW64" s="68">
        <f>AW61+AW43+AX43</f>
        <v>393859.69</v>
      </c>
      <c r="AX64" s="90"/>
      <c r="AY64" s="90"/>
      <c r="AZ64" s="90"/>
      <c r="BA64" s="90"/>
      <c r="BB64" s="91"/>
      <c r="BC64" s="68">
        <f>BC61+BC43</f>
        <v>155250.20000000001</v>
      </c>
      <c r="BD64" s="90"/>
      <c r="BE64" s="90"/>
      <c r="BF64" s="91"/>
      <c r="BH64" s="64">
        <f>BH61+BH43</f>
        <v>4505679.5999999996</v>
      </c>
      <c r="BK64" s="64">
        <f>BK61+BK43</f>
        <v>4454625</v>
      </c>
      <c r="BL64" s="96">
        <f>BH64-BK64</f>
        <v>51054.599999999627</v>
      </c>
      <c r="BM64" s="33">
        <f>BL64/BK64</f>
        <v>1.1461032073406768E-2</v>
      </c>
    </row>
    <row r="68" spans="4:60" ht="12.95">
      <c r="D68" s="12"/>
    </row>
    <row r="69" spans="4:60" ht="12.95">
      <c r="BH69" s="27"/>
    </row>
    <row r="150" spans="63:64" ht="14.1">
      <c r="BK150" s="28">
        <v>26433.56</v>
      </c>
    </row>
    <row r="151" spans="63:64" ht="12.95">
      <c r="BK151" s="12">
        <f t="shared" ref="BK151:BK154" si="81">$BK$150*BL151</f>
        <v>7930.0680000000002</v>
      </c>
      <c r="BL151" s="12">
        <v>0.3</v>
      </c>
    </row>
    <row r="152" spans="63:64" ht="12.95">
      <c r="BK152" s="12">
        <f t="shared" si="81"/>
        <v>7930.0680000000002</v>
      </c>
      <c r="BL152" s="12">
        <v>0.3</v>
      </c>
    </row>
    <row r="153" spans="63:64" ht="12.95">
      <c r="BK153" s="12">
        <f t="shared" si="81"/>
        <v>5286.7120000000004</v>
      </c>
      <c r="BL153" s="12">
        <v>0.2</v>
      </c>
    </row>
    <row r="154" spans="63:64" ht="12.95">
      <c r="BK154" s="12">
        <f t="shared" si="81"/>
        <v>5286.7120000000004</v>
      </c>
      <c r="BL154" s="12">
        <v>0.2</v>
      </c>
    </row>
  </sheetData>
  <mergeCells count="544">
    <mergeCell ref="AI12:AM12"/>
    <mergeCell ref="AO12:AR12"/>
    <mergeCell ref="AS12:AV12"/>
    <mergeCell ref="AX12:BB12"/>
    <mergeCell ref="BC12:BF12"/>
    <mergeCell ref="E12:H12"/>
    <mergeCell ref="I12:M12"/>
    <mergeCell ref="N12:Q12"/>
    <mergeCell ref="R12:V12"/>
    <mergeCell ref="W12:Z12"/>
    <mergeCell ref="AA12:AD12"/>
    <mergeCell ref="AE12:AH12"/>
    <mergeCell ref="AI13:AM13"/>
    <mergeCell ref="AO13:AR13"/>
    <mergeCell ref="AS13:AV13"/>
    <mergeCell ref="AX13:BB13"/>
    <mergeCell ref="BC13:BF13"/>
    <mergeCell ref="E13:H13"/>
    <mergeCell ref="I13:M13"/>
    <mergeCell ref="N13:Q13"/>
    <mergeCell ref="R13:V13"/>
    <mergeCell ref="W13:Z13"/>
    <mergeCell ref="AA13:AD13"/>
    <mergeCell ref="AE13:AH13"/>
    <mergeCell ref="AI14:AM14"/>
    <mergeCell ref="AO14:AR14"/>
    <mergeCell ref="AS14:AV14"/>
    <mergeCell ref="AX14:BB14"/>
    <mergeCell ref="BC14:BF14"/>
    <mergeCell ref="E14:H14"/>
    <mergeCell ref="I14:M14"/>
    <mergeCell ref="N14:Q14"/>
    <mergeCell ref="R14:V14"/>
    <mergeCell ref="W14:Z14"/>
    <mergeCell ref="AA14:AD14"/>
    <mergeCell ref="AE14:AH14"/>
    <mergeCell ref="AE23:AH23"/>
    <mergeCell ref="AI23:AM23"/>
    <mergeCell ref="AO23:AR23"/>
    <mergeCell ref="AS23:AV23"/>
    <mergeCell ref="AX23:BB23"/>
    <mergeCell ref="BC23:BF23"/>
    <mergeCell ref="D21:D22"/>
    <mergeCell ref="E23:H23"/>
    <mergeCell ref="I23:M23"/>
    <mergeCell ref="N23:Q23"/>
    <mergeCell ref="R23:V23"/>
    <mergeCell ref="W23:Z23"/>
    <mergeCell ref="AA23:AD23"/>
    <mergeCell ref="AI24:AM24"/>
    <mergeCell ref="AO24:AR24"/>
    <mergeCell ref="AS24:AV24"/>
    <mergeCell ref="AX24:BB24"/>
    <mergeCell ref="BC24:BF24"/>
    <mergeCell ref="E24:H24"/>
    <mergeCell ref="I24:M24"/>
    <mergeCell ref="N24:Q24"/>
    <mergeCell ref="R24:V24"/>
    <mergeCell ref="W24:Z24"/>
    <mergeCell ref="AA24:AD24"/>
    <mergeCell ref="AE24:AH24"/>
    <mergeCell ref="AI25:AM25"/>
    <mergeCell ref="AO25:AR25"/>
    <mergeCell ref="AS25:AV25"/>
    <mergeCell ref="AX25:BB25"/>
    <mergeCell ref="BC25:BF25"/>
    <mergeCell ref="E25:H25"/>
    <mergeCell ref="I25:M25"/>
    <mergeCell ref="N25:Q25"/>
    <mergeCell ref="R25:V25"/>
    <mergeCell ref="W25:Z25"/>
    <mergeCell ref="AA25:AD25"/>
    <mergeCell ref="AE25:AH25"/>
    <mergeCell ref="AI26:AM26"/>
    <mergeCell ref="AO26:AR26"/>
    <mergeCell ref="AS26:AV26"/>
    <mergeCell ref="AX26:BB26"/>
    <mergeCell ref="BC26:BF26"/>
    <mergeCell ref="E26:H26"/>
    <mergeCell ref="I26:M26"/>
    <mergeCell ref="N26:Q26"/>
    <mergeCell ref="R26:V26"/>
    <mergeCell ref="W26:Z26"/>
    <mergeCell ref="AA26:AD26"/>
    <mergeCell ref="AE26:AH26"/>
    <mergeCell ref="AX6:BB6"/>
    <mergeCell ref="BC6:BF6"/>
    <mergeCell ref="R6:V6"/>
    <mergeCell ref="W6:Z6"/>
    <mergeCell ref="AA6:AD6"/>
    <mergeCell ref="AE6:AH6"/>
    <mergeCell ref="AI6:AM6"/>
    <mergeCell ref="AO6:AR6"/>
    <mergeCell ref="AS6:AV6"/>
    <mergeCell ref="E1:AA2"/>
    <mergeCell ref="E4:X4"/>
    <mergeCell ref="S5:U5"/>
    <mergeCell ref="V5:X5"/>
    <mergeCell ref="E6:H6"/>
    <mergeCell ref="I6:M6"/>
    <mergeCell ref="N6:Q6"/>
    <mergeCell ref="AI7:AM7"/>
    <mergeCell ref="AO7:AR7"/>
    <mergeCell ref="AS7:AV7"/>
    <mergeCell ref="AX7:BB7"/>
    <mergeCell ref="BC7:BF7"/>
    <mergeCell ref="E7:H7"/>
    <mergeCell ref="I7:M7"/>
    <mergeCell ref="N7:Q7"/>
    <mergeCell ref="R7:V7"/>
    <mergeCell ref="W7:Z7"/>
    <mergeCell ref="AA7:AD7"/>
    <mergeCell ref="AE7:AH7"/>
    <mergeCell ref="AE11:AH11"/>
    <mergeCell ref="AI11:AM11"/>
    <mergeCell ref="AO11:AR11"/>
    <mergeCell ref="AS11:AV11"/>
    <mergeCell ref="AX11:BB11"/>
    <mergeCell ref="BC11:BF11"/>
    <mergeCell ref="D9:D10"/>
    <mergeCell ref="E11:H11"/>
    <mergeCell ref="I11:M11"/>
    <mergeCell ref="N11:Q11"/>
    <mergeCell ref="R11:V11"/>
    <mergeCell ref="W11:Z11"/>
    <mergeCell ref="AA11:AD11"/>
    <mergeCell ref="AI15:AM15"/>
    <mergeCell ref="AO15:AR15"/>
    <mergeCell ref="AS15:AV15"/>
    <mergeCell ref="AX15:BB15"/>
    <mergeCell ref="BC15:BF15"/>
    <mergeCell ref="E15:H15"/>
    <mergeCell ref="I15:M15"/>
    <mergeCell ref="N15:Q15"/>
    <mergeCell ref="R15:V15"/>
    <mergeCell ref="W15:Z15"/>
    <mergeCell ref="AA15:AD15"/>
    <mergeCell ref="AE15:AH15"/>
    <mergeCell ref="AI16:AM16"/>
    <mergeCell ref="AO16:AR16"/>
    <mergeCell ref="AS16:AV16"/>
    <mergeCell ref="AX16:BB16"/>
    <mergeCell ref="BC16:BF16"/>
    <mergeCell ref="E16:H16"/>
    <mergeCell ref="I16:M16"/>
    <mergeCell ref="N16:Q16"/>
    <mergeCell ref="R16:V16"/>
    <mergeCell ref="W16:Z16"/>
    <mergeCell ref="AA16:AD16"/>
    <mergeCell ref="AE16:AH16"/>
    <mergeCell ref="AI17:AM17"/>
    <mergeCell ref="AO17:AR17"/>
    <mergeCell ref="AS17:AV17"/>
    <mergeCell ref="AX17:BB17"/>
    <mergeCell ref="BC17:BF17"/>
    <mergeCell ref="E17:H17"/>
    <mergeCell ref="I17:M17"/>
    <mergeCell ref="N17:Q17"/>
    <mergeCell ref="R17:V17"/>
    <mergeCell ref="W17:Z17"/>
    <mergeCell ref="AA17:AD17"/>
    <mergeCell ref="AE17:AH17"/>
    <mergeCell ref="AI18:AM18"/>
    <mergeCell ref="AO18:AR18"/>
    <mergeCell ref="AS18:AV18"/>
    <mergeCell ref="AX18:BB18"/>
    <mergeCell ref="BC18:BF18"/>
    <mergeCell ref="E18:H18"/>
    <mergeCell ref="I18:M18"/>
    <mergeCell ref="N18:Q18"/>
    <mergeCell ref="R18:V18"/>
    <mergeCell ref="W18:Z18"/>
    <mergeCell ref="AA18:AD18"/>
    <mergeCell ref="AE18:AH18"/>
    <mergeCell ref="AI19:AM19"/>
    <mergeCell ref="AO19:AR19"/>
    <mergeCell ref="AS19:AV19"/>
    <mergeCell ref="AX19:BB19"/>
    <mergeCell ref="BC19:BF19"/>
    <mergeCell ref="E19:H19"/>
    <mergeCell ref="I19:M19"/>
    <mergeCell ref="N19:Q19"/>
    <mergeCell ref="R19:V19"/>
    <mergeCell ref="W19:Z19"/>
    <mergeCell ref="AA19:AD19"/>
    <mergeCell ref="AE19:AH19"/>
    <mergeCell ref="AI30:AM30"/>
    <mergeCell ref="AO30:AR30"/>
    <mergeCell ref="AS30:AV30"/>
    <mergeCell ref="AX30:BB30"/>
    <mergeCell ref="BC30:BF30"/>
    <mergeCell ref="E30:H30"/>
    <mergeCell ref="I30:M30"/>
    <mergeCell ref="N30:Q30"/>
    <mergeCell ref="R30:V30"/>
    <mergeCell ref="W30:Z30"/>
    <mergeCell ref="AA30:AD30"/>
    <mergeCell ref="AE30:AH30"/>
    <mergeCell ref="AI31:AM31"/>
    <mergeCell ref="AO31:AR31"/>
    <mergeCell ref="AS31:AV31"/>
    <mergeCell ref="AX31:BB31"/>
    <mergeCell ref="BC31:BF31"/>
    <mergeCell ref="E31:H31"/>
    <mergeCell ref="I31:M31"/>
    <mergeCell ref="N31:Q31"/>
    <mergeCell ref="R31:V31"/>
    <mergeCell ref="W31:Z31"/>
    <mergeCell ref="AA31:AD31"/>
    <mergeCell ref="AE31:AH31"/>
    <mergeCell ref="AI32:AM32"/>
    <mergeCell ref="AO32:AR32"/>
    <mergeCell ref="AS32:AV32"/>
    <mergeCell ref="AX32:BB32"/>
    <mergeCell ref="BC32:BF32"/>
    <mergeCell ref="E32:H32"/>
    <mergeCell ref="I32:M32"/>
    <mergeCell ref="N32:Q32"/>
    <mergeCell ref="R32:V32"/>
    <mergeCell ref="W32:Z32"/>
    <mergeCell ref="AA32:AD32"/>
    <mergeCell ref="AE32:AH32"/>
    <mergeCell ref="AI33:AM33"/>
    <mergeCell ref="AO33:AR33"/>
    <mergeCell ref="AS33:AV33"/>
    <mergeCell ref="AX33:BB33"/>
    <mergeCell ref="BC33:BF33"/>
    <mergeCell ref="E33:H33"/>
    <mergeCell ref="I33:M33"/>
    <mergeCell ref="N33:Q33"/>
    <mergeCell ref="R33:V33"/>
    <mergeCell ref="W33:Z33"/>
    <mergeCell ref="AA33:AD33"/>
    <mergeCell ref="AE33:AH33"/>
    <mergeCell ref="AI34:AM34"/>
    <mergeCell ref="AO34:AR34"/>
    <mergeCell ref="AS34:AV34"/>
    <mergeCell ref="AX34:BB34"/>
    <mergeCell ref="BC34:BF34"/>
    <mergeCell ref="E34:H34"/>
    <mergeCell ref="I34:M34"/>
    <mergeCell ref="N34:Q34"/>
    <mergeCell ref="R34:V34"/>
    <mergeCell ref="W34:Z34"/>
    <mergeCell ref="AA34:AD34"/>
    <mergeCell ref="AE34:AH34"/>
    <mergeCell ref="AI35:AM35"/>
    <mergeCell ref="AO35:AR35"/>
    <mergeCell ref="AS35:AV35"/>
    <mergeCell ref="AX35:BB35"/>
    <mergeCell ref="BC35:BF35"/>
    <mergeCell ref="E35:H35"/>
    <mergeCell ref="I35:M35"/>
    <mergeCell ref="N35:Q35"/>
    <mergeCell ref="R35:V35"/>
    <mergeCell ref="W35:Z35"/>
    <mergeCell ref="AA35:AD35"/>
    <mergeCell ref="AE35:AH35"/>
    <mergeCell ref="AX36:BB36"/>
    <mergeCell ref="BC36:BF36"/>
    <mergeCell ref="E36:H36"/>
    <mergeCell ref="I36:M36"/>
    <mergeCell ref="N36:Q36"/>
    <mergeCell ref="R36:V36"/>
    <mergeCell ref="W36:Z36"/>
    <mergeCell ref="AA36:AD36"/>
    <mergeCell ref="AE36:AH36"/>
    <mergeCell ref="E46:H46"/>
    <mergeCell ref="I46:M46"/>
    <mergeCell ref="N46:Q46"/>
    <mergeCell ref="R46:V46"/>
    <mergeCell ref="W46:Z46"/>
    <mergeCell ref="AA46:AD46"/>
    <mergeCell ref="AE46:AH46"/>
    <mergeCell ref="AI37:AM37"/>
    <mergeCell ref="AO37:AR37"/>
    <mergeCell ref="E37:H37"/>
    <mergeCell ref="I37:M37"/>
    <mergeCell ref="N37:Q37"/>
    <mergeCell ref="R37:V37"/>
    <mergeCell ref="W37:Z37"/>
    <mergeCell ref="AA37:AD37"/>
    <mergeCell ref="AE37:AH37"/>
    <mergeCell ref="AI27:AM27"/>
    <mergeCell ref="AO27:AR27"/>
    <mergeCell ref="AS27:AV27"/>
    <mergeCell ref="AX27:BB27"/>
    <mergeCell ref="BC27:BF27"/>
    <mergeCell ref="E27:H27"/>
    <mergeCell ref="I27:M27"/>
    <mergeCell ref="N27:Q27"/>
    <mergeCell ref="R27:V27"/>
    <mergeCell ref="W27:Z27"/>
    <mergeCell ref="AA27:AD27"/>
    <mergeCell ref="AE27:AH27"/>
    <mergeCell ref="AS28:AV28"/>
    <mergeCell ref="AX28:BB28"/>
    <mergeCell ref="BC28:BF28"/>
    <mergeCell ref="E28:H28"/>
    <mergeCell ref="I28:M28"/>
    <mergeCell ref="N28:Q28"/>
    <mergeCell ref="R28:V28"/>
    <mergeCell ref="W28:Z28"/>
    <mergeCell ref="AA28:AD28"/>
    <mergeCell ref="AE28:AH28"/>
    <mergeCell ref="E29:H29"/>
    <mergeCell ref="I29:M29"/>
    <mergeCell ref="N29:Q29"/>
    <mergeCell ref="R29:V29"/>
    <mergeCell ref="W29:Z29"/>
    <mergeCell ref="AA29:AD29"/>
    <mergeCell ref="AE29:AH29"/>
    <mergeCell ref="AI28:AM28"/>
    <mergeCell ref="AO28:AR28"/>
    <mergeCell ref="AO48:AR48"/>
    <mergeCell ref="AS48:AV48"/>
    <mergeCell ref="AX48:BB48"/>
    <mergeCell ref="BC48:BF48"/>
    <mergeCell ref="AE48:AH48"/>
    <mergeCell ref="AE49:AH49"/>
    <mergeCell ref="AI49:AM49"/>
    <mergeCell ref="AX49:BB49"/>
    <mergeCell ref="AI29:AM29"/>
    <mergeCell ref="AO29:AR29"/>
    <mergeCell ref="AS29:AV29"/>
    <mergeCell ref="AX29:BB29"/>
    <mergeCell ref="BC29:BF29"/>
    <mergeCell ref="AI46:AM46"/>
    <mergeCell ref="AN46:AR46"/>
    <mergeCell ref="AS46:AV46"/>
    <mergeCell ref="AW46:BB46"/>
    <mergeCell ref="BC46:BF46"/>
    <mergeCell ref="AS37:AV37"/>
    <mergeCell ref="AX37:BB37"/>
    <mergeCell ref="BC37:BF37"/>
    <mergeCell ref="AI36:AM36"/>
    <mergeCell ref="AO36:AR36"/>
    <mergeCell ref="AS36:AV36"/>
    <mergeCell ref="AG50:AK50"/>
    <mergeCell ref="AG51:AK51"/>
    <mergeCell ref="E48:H48"/>
    <mergeCell ref="I48:M48"/>
    <mergeCell ref="N48:Q48"/>
    <mergeCell ref="R48:V48"/>
    <mergeCell ref="W48:Z48"/>
    <mergeCell ref="AA48:AD48"/>
    <mergeCell ref="R49:V49"/>
    <mergeCell ref="AI48:AM48"/>
    <mergeCell ref="AW54:BB54"/>
    <mergeCell ref="BC54:BF54"/>
    <mergeCell ref="R54:V54"/>
    <mergeCell ref="W54:Z54"/>
    <mergeCell ref="AA54:AD54"/>
    <mergeCell ref="AE54:AH54"/>
    <mergeCell ref="AI54:AM54"/>
    <mergeCell ref="AN54:AR54"/>
    <mergeCell ref="AS54:AV54"/>
    <mergeCell ref="AS55:AV55"/>
    <mergeCell ref="AW55:BB55"/>
    <mergeCell ref="BC55:BF55"/>
    <mergeCell ref="E55:H55"/>
    <mergeCell ref="I55:M55"/>
    <mergeCell ref="N55:Q55"/>
    <mergeCell ref="R55:V55"/>
    <mergeCell ref="W55:Z55"/>
    <mergeCell ref="AA55:AD55"/>
    <mergeCell ref="AE55:AH55"/>
    <mergeCell ref="D52:D53"/>
    <mergeCell ref="E53:H53"/>
    <mergeCell ref="I53:L53"/>
    <mergeCell ref="M53:P53"/>
    <mergeCell ref="E54:H54"/>
    <mergeCell ref="I54:M54"/>
    <mergeCell ref="N54:Q54"/>
    <mergeCell ref="AI59:AM59"/>
    <mergeCell ref="AN59:AR59"/>
    <mergeCell ref="AI56:AM56"/>
    <mergeCell ref="AN56:AR56"/>
    <mergeCell ref="AI57:AM57"/>
    <mergeCell ref="AN57:AR57"/>
    <mergeCell ref="AI58:AM58"/>
    <mergeCell ref="AN58:AR58"/>
    <mergeCell ref="AI55:AM55"/>
    <mergeCell ref="AN55:AR55"/>
    <mergeCell ref="AS59:AV59"/>
    <mergeCell ref="AW59:BB59"/>
    <mergeCell ref="BC59:BF59"/>
    <mergeCell ref="E59:H59"/>
    <mergeCell ref="I59:M59"/>
    <mergeCell ref="N59:Q59"/>
    <mergeCell ref="R59:V59"/>
    <mergeCell ref="W59:Z59"/>
    <mergeCell ref="AA59:AD59"/>
    <mergeCell ref="AE59:AH59"/>
    <mergeCell ref="AI60:AM60"/>
    <mergeCell ref="AN60:AR60"/>
    <mergeCell ref="AS60:AV60"/>
    <mergeCell ref="AW60:BB60"/>
    <mergeCell ref="BC60:BF60"/>
    <mergeCell ref="E60:H60"/>
    <mergeCell ref="I60:M60"/>
    <mergeCell ref="N60:Q60"/>
    <mergeCell ref="R60:V60"/>
    <mergeCell ref="W60:Z60"/>
    <mergeCell ref="AA60:AD60"/>
    <mergeCell ref="AE60:AH60"/>
    <mergeCell ref="AI61:AM61"/>
    <mergeCell ref="AN61:AR61"/>
    <mergeCell ref="AS61:AV61"/>
    <mergeCell ref="AW61:BB61"/>
    <mergeCell ref="BC61:BF61"/>
    <mergeCell ref="E61:H61"/>
    <mergeCell ref="I61:M61"/>
    <mergeCell ref="N61:Q61"/>
    <mergeCell ref="R61:V61"/>
    <mergeCell ref="W61:Z61"/>
    <mergeCell ref="AA61:AD61"/>
    <mergeCell ref="AE61:AH61"/>
    <mergeCell ref="AS56:AV56"/>
    <mergeCell ref="AW56:BB56"/>
    <mergeCell ref="BC56:BF56"/>
    <mergeCell ref="E56:H56"/>
    <mergeCell ref="I56:M56"/>
    <mergeCell ref="N56:Q56"/>
    <mergeCell ref="R56:V56"/>
    <mergeCell ref="W56:Z56"/>
    <mergeCell ref="AA56:AD56"/>
    <mergeCell ref="AE56:AH56"/>
    <mergeCell ref="AS57:AV57"/>
    <mergeCell ref="AW57:BB57"/>
    <mergeCell ref="BC57:BF57"/>
    <mergeCell ref="E57:H57"/>
    <mergeCell ref="I57:M57"/>
    <mergeCell ref="N57:Q57"/>
    <mergeCell ref="R57:V57"/>
    <mergeCell ref="W57:Z57"/>
    <mergeCell ref="AA57:AD57"/>
    <mergeCell ref="AE57:AH57"/>
    <mergeCell ref="AS58:AV58"/>
    <mergeCell ref="AW58:BB58"/>
    <mergeCell ref="BC58:BF58"/>
    <mergeCell ref="E58:H58"/>
    <mergeCell ref="I58:M58"/>
    <mergeCell ref="N58:Q58"/>
    <mergeCell ref="R58:V58"/>
    <mergeCell ref="W58:Z58"/>
    <mergeCell ref="AA58:AD58"/>
    <mergeCell ref="AE58:AH58"/>
    <mergeCell ref="AI64:AM64"/>
    <mergeCell ref="AN64:AR64"/>
    <mergeCell ref="AS64:AV64"/>
    <mergeCell ref="AW64:BB64"/>
    <mergeCell ref="BC64:BF64"/>
    <mergeCell ref="E64:H64"/>
    <mergeCell ref="I64:M64"/>
    <mergeCell ref="N64:Q64"/>
    <mergeCell ref="R64:V64"/>
    <mergeCell ref="W64:Z64"/>
    <mergeCell ref="AA64:AD64"/>
    <mergeCell ref="AE64:AH64"/>
    <mergeCell ref="AI38:AM38"/>
    <mergeCell ref="AO38:AR38"/>
    <mergeCell ref="AS38:AV38"/>
    <mergeCell ref="AX38:BB38"/>
    <mergeCell ref="BC38:BF38"/>
    <mergeCell ref="E38:H38"/>
    <mergeCell ref="I38:M38"/>
    <mergeCell ref="N38:Q38"/>
    <mergeCell ref="R38:V38"/>
    <mergeCell ref="W38:Z38"/>
    <mergeCell ref="AA38:AD38"/>
    <mergeCell ref="AE38:AH38"/>
    <mergeCell ref="AI39:AM39"/>
    <mergeCell ref="AO39:AR39"/>
    <mergeCell ref="AS39:AV39"/>
    <mergeCell ref="AX39:BB39"/>
    <mergeCell ref="BC39:BF39"/>
    <mergeCell ref="E39:H39"/>
    <mergeCell ref="I39:M39"/>
    <mergeCell ref="N39:Q39"/>
    <mergeCell ref="R39:V39"/>
    <mergeCell ref="W39:Z39"/>
    <mergeCell ref="AA39:AD39"/>
    <mergeCell ref="AE39:AH39"/>
    <mergeCell ref="AI40:AM40"/>
    <mergeCell ref="AO40:AR40"/>
    <mergeCell ref="AS40:AV40"/>
    <mergeCell ref="AX40:BB40"/>
    <mergeCell ref="BC40:BF40"/>
    <mergeCell ref="E40:H40"/>
    <mergeCell ref="I40:M40"/>
    <mergeCell ref="N40:Q40"/>
    <mergeCell ref="R40:V40"/>
    <mergeCell ref="W40:Z40"/>
    <mergeCell ref="AA40:AD40"/>
    <mergeCell ref="AE40:AH40"/>
    <mergeCell ref="AI41:AM41"/>
    <mergeCell ref="AO41:AR41"/>
    <mergeCell ref="AS41:AV41"/>
    <mergeCell ref="AX41:BB41"/>
    <mergeCell ref="BC41:BF41"/>
    <mergeCell ref="E41:H41"/>
    <mergeCell ref="I41:M41"/>
    <mergeCell ref="N41:Q41"/>
    <mergeCell ref="R41:V41"/>
    <mergeCell ref="W41:Z41"/>
    <mergeCell ref="AA41:AD41"/>
    <mergeCell ref="AE41:AH41"/>
    <mergeCell ref="AI43:AM43"/>
    <mergeCell ref="AO43:AR43"/>
    <mergeCell ref="AS43:AV43"/>
    <mergeCell ref="AX43:BB43"/>
    <mergeCell ref="BC43:BF43"/>
    <mergeCell ref="E43:H43"/>
    <mergeCell ref="I43:M43"/>
    <mergeCell ref="N43:Q43"/>
    <mergeCell ref="R43:V43"/>
    <mergeCell ref="W43:Z43"/>
    <mergeCell ref="AA43:AD43"/>
    <mergeCell ref="AE43:AH43"/>
    <mergeCell ref="AI44:AM44"/>
    <mergeCell ref="AO44:AR44"/>
    <mergeCell ref="AS44:AV44"/>
    <mergeCell ref="AX44:BB44"/>
    <mergeCell ref="BC44:BF44"/>
    <mergeCell ref="E44:H44"/>
    <mergeCell ref="I44:M44"/>
    <mergeCell ref="N44:Q44"/>
    <mergeCell ref="R44:V44"/>
    <mergeCell ref="W44:Z44"/>
    <mergeCell ref="AA44:AD44"/>
    <mergeCell ref="AE44:AH44"/>
    <mergeCell ref="AI45:AM45"/>
    <mergeCell ref="AO45:AR45"/>
    <mergeCell ref="AS45:AV45"/>
    <mergeCell ref="AX45:BB45"/>
    <mergeCell ref="BC45:BF45"/>
    <mergeCell ref="E45:H45"/>
    <mergeCell ref="I45:M45"/>
    <mergeCell ref="N45:Q45"/>
    <mergeCell ref="R45:V45"/>
    <mergeCell ref="W45:Z45"/>
    <mergeCell ref="AA45:AD45"/>
    <mergeCell ref="AE45:AH45"/>
  </mergeCells>
  <printOptions horizontalCentered="1"/>
  <pageMargins left="0.7" right="0.7" top="0.75" bottom="0.75" header="0" footer="0"/>
  <pageSetup paperSize="3" pageOrder="overThenDown" orientation="landscape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7642783BF5F549AD8264003DAC5479" ma:contentTypeVersion="3" ma:contentTypeDescription="Crée un document." ma:contentTypeScope="" ma:versionID="3438cb3f7b2f579182ae8d52c75336db">
  <xsd:schema xmlns:xsd="http://www.w3.org/2001/XMLSchema" xmlns:xs="http://www.w3.org/2001/XMLSchema" xmlns:p="http://schemas.microsoft.com/office/2006/metadata/properties" xmlns:ns2="be3f775b-911d-49d5-9e9c-70e93af7b92b" targetNamespace="http://schemas.microsoft.com/office/2006/metadata/properties" ma:root="true" ma:fieldsID="1931f9c7b501a95c092ca41e4fbd45a1" ns2:_="">
    <xsd:import namespace="be3f775b-911d-49d5-9e9c-70e93af7b92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e3f775b-911d-49d5-9e9c-70e93af7b92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2B962E4-A49B-4859-A512-3F26FEB96CAE}"/>
</file>

<file path=customXml/itemProps2.xml><?xml version="1.0" encoding="utf-8"?>
<ds:datastoreItem xmlns:ds="http://schemas.openxmlformats.org/officeDocument/2006/customXml" ds:itemID="{C2124DBE-00AC-470A-9675-6D0CE519635A}"/>
</file>

<file path=customXml/itemProps3.xml><?xml version="1.0" encoding="utf-8"?>
<ds:datastoreItem xmlns:ds="http://schemas.openxmlformats.org/officeDocument/2006/customXml" ds:itemID="{FC6DA7B9-4B19-480D-8A99-AF369BE239D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2026-02-04T22:14:39Z</dcterms:created>
  <dcterms:modified xsi:type="dcterms:W3CDTF">2026-02-24T01:34:47Z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0x010100DF7642783BF5F549AD8264003DAC5479</vt:lpwstr>
  </property>
</Properties>
</file>